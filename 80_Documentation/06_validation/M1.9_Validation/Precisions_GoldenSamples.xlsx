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Documentation\06_validation\M1.9_Validation\"/>
    </mc:Choice>
  </mc:AlternateContent>
  <xr:revisionPtr revIDLastSave="0" documentId="13_ncr:1_{087CABDB-B96A-4C10-BE5F-918819247C90}" xr6:coauthVersionLast="47" xr6:coauthVersionMax="47" xr10:uidLastSave="{00000000-0000-0000-0000-000000000000}"/>
  <bookViews>
    <workbookView xWindow="57480" yWindow="-120" windowWidth="29040" windowHeight="15720" xr2:uid="{C498437F-B3B4-4B00-A131-43A230E8AE2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2" i="1"/>
  <c r="J15" i="1" s="1"/>
  <c r="J16" i="1" s="1"/>
  <c r="I15" i="1"/>
  <c r="I16" i="1" s="1"/>
  <c r="I13" i="1"/>
  <c r="I12" i="1"/>
  <c r="H12" i="1"/>
  <c r="H15" i="1" s="1"/>
  <c r="H16" i="1" s="1"/>
  <c r="M3" i="1"/>
  <c r="M2" i="1"/>
  <c r="G12" i="1"/>
  <c r="G15" i="1" s="1"/>
  <c r="G16" i="1" s="1"/>
  <c r="D13" i="1"/>
  <c r="M1" i="1"/>
  <c r="E13" i="1" s="1"/>
  <c r="F7" i="1"/>
  <c r="F12" i="1" s="1"/>
  <c r="F15" i="1" s="1"/>
  <c r="F16" i="1" s="1"/>
  <c r="F8" i="1"/>
  <c r="F13" i="1" s="1"/>
  <c r="C8" i="1"/>
  <c r="C7" i="1"/>
  <c r="E12" i="1" l="1"/>
  <c r="E15" i="1" s="1"/>
  <c r="E16" i="1" s="1"/>
  <c r="H13" i="1"/>
  <c r="C13" i="1"/>
  <c r="G13" i="1"/>
  <c r="C12" i="1"/>
  <c r="C15" i="1" s="1"/>
  <c r="C16" i="1" s="1"/>
  <c r="D12" i="1"/>
  <c r="D15" i="1" s="1"/>
  <c r="D16" i="1" s="1"/>
</calcChain>
</file>

<file path=xl/sharedStrings.xml><?xml version="1.0" encoding="utf-8"?>
<sst xmlns="http://schemas.openxmlformats.org/spreadsheetml/2006/main" count="48" uniqueCount="42">
  <si>
    <t>AS-000003</t>
  </si>
  <si>
    <t>AS-000015</t>
  </si>
  <si>
    <t>AS-000023</t>
  </si>
  <si>
    <t>AS-000046</t>
  </si>
  <si>
    <t>AS-000057</t>
  </si>
  <si>
    <t>AS-000072</t>
  </si>
  <si>
    <t>AS-000104</t>
  </si>
  <si>
    <t>Delta 5-4</t>
  </si>
  <si>
    <t>Delta 5-1</t>
  </si>
  <si>
    <t>2486286.0048611108</t>
  </si>
  <si>
    <t>weil nach 6 Stellen noch Unterschiede auftreten</t>
  </si>
  <si>
    <t>weil old data auf 6 Stellen truncated, aber nach 3 Stellen keine Unterschiede mehr auftreten</t>
  </si>
  <si>
    <t>2463504.0881944430</t>
  </si>
  <si>
    <t>2463504.0881944429</t>
  </si>
  <si>
    <t>2476727.4048611110</t>
  </si>
  <si>
    <t>2476727.4048611112</t>
  </si>
  <si>
    <t>Start JD: Seed Incoming</t>
  </si>
  <si>
    <t>Start JD: Seed Prepared</t>
  </si>
  <si>
    <t>Start JD: Experiment</t>
  </si>
  <si>
    <t>Start JD: Truth CSV</t>
  </si>
  <si>
    <t>Start JD: Truth json</t>
  </si>
  <si>
    <t>'2461245.803472222</t>
  </si>
  <si>
    <t>2461245.8034722218</t>
  </si>
  <si>
    <t>Days to ms: Factor</t>
  </si>
  <si>
    <t>Delta 5-4: Deviation in ms</t>
  </si>
  <si>
    <t>Delta 5-1: Deviation in ms</t>
  </si>
  <si>
    <t>Light Distance m/s</t>
  </si>
  <si>
    <t>Deviation Light Distance in km</t>
  </si>
  <si>
    <t>AU in km</t>
  </si>
  <si>
    <t>Deviation in AU</t>
  </si>
  <si>
    <t>2459845.6402777778</t>
  </si>
  <si>
    <t>2459845.6402777780</t>
  </si>
  <si>
    <t>AS-000145</t>
  </si>
  <si>
    <t>'2415020.500000000</t>
  </si>
  <si>
    <t>Bemerkung zu old/new Vergleich</t>
  </si>
  <si>
    <t>kein Vergleich möglich, keine alten Daten</t>
  </si>
  <si>
    <t>2460835.712500000</t>
  </si>
  <si>
    <t>'2460835.7124999999</t>
  </si>
  <si>
    <t>Start JD: Truth json CORRECTED</t>
  </si>
  <si>
    <t>2463504.088194443</t>
  </si>
  <si>
    <t>2476727.404861111</t>
  </si>
  <si>
    <t>2459845.640277778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</si>
</sst>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000000E+00"/>
    <numFmt numFmtId="170" formatCode="0.0"/>
    <numFmt numFmtId="171" formatCode="0.000000"/>
    <numFmt numFmtId="172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5"/>
      <name val="Courier New"/>
      <family val="3"/>
    </font>
    <font>
      <sz val="11"/>
      <color rgb="FFFF0000"/>
      <name val="Courier New"/>
      <family val="3"/>
    </font>
    <font>
      <sz val="11"/>
      <color theme="1"/>
      <name val="courier"/>
    </font>
    <font>
      <b/>
      <sz val="11"/>
      <color theme="1"/>
      <name val="Courier New"/>
      <family val="3"/>
    </font>
    <font>
      <sz val="1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wrapText="1"/>
    </xf>
    <xf numFmtId="170" fontId="0" fillId="0" borderId="0" xfId="0" applyNumberFormat="1"/>
    <xf numFmtId="11" fontId="0" fillId="0" borderId="0" xfId="0" applyNumberFormat="1"/>
    <xf numFmtId="164" fontId="2" fillId="0" borderId="0" xfId="0" applyNumberFormat="1" applyFont="1"/>
    <xf numFmtId="164" fontId="2" fillId="0" borderId="0" xfId="0" quotePrefix="1" applyNumberFormat="1" applyFont="1" applyAlignment="1">
      <alignment horizontal="right"/>
    </xf>
    <xf numFmtId="164" fontId="4" fillId="0" borderId="0" xfId="0" applyNumberFormat="1" applyFont="1"/>
    <xf numFmtId="49" fontId="4" fillId="0" borderId="0" xfId="0" quotePrefix="1" applyNumberFormat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165" fontId="2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171" fontId="2" fillId="0" borderId="0" xfId="0" quotePrefix="1" applyNumberFormat="1" applyFont="1" applyAlignment="1">
      <alignment horizontal="right"/>
    </xf>
    <xf numFmtId="170" fontId="6" fillId="0" borderId="0" xfId="0" quotePrefix="1" applyNumberFormat="1" applyFont="1" applyAlignment="1">
      <alignment horizontal="right"/>
    </xf>
    <xf numFmtId="170" fontId="7" fillId="0" borderId="0" xfId="0" quotePrefix="1" applyNumberFormat="1" applyFont="1" applyAlignment="1">
      <alignment horizontal="right"/>
    </xf>
    <xf numFmtId="164" fontId="0" fillId="0" borderId="0" xfId="0" quotePrefix="1" applyNumberFormat="1" applyAlignment="1">
      <alignment wrapText="1"/>
    </xf>
    <xf numFmtId="172" fontId="2" fillId="0" borderId="0" xfId="0" quotePrefix="1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164" fontId="2" fillId="2" borderId="0" xfId="0" applyNumberFormat="1" applyFont="1" applyFill="1"/>
    <xf numFmtId="164" fontId="3" fillId="2" borderId="0" xfId="0" quotePrefix="1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227D-2AB7-4C5C-A91C-2AB0112EC5FE}">
  <dimension ref="A1:M16"/>
  <sheetViews>
    <sheetView tabSelected="1" zoomScaleNormal="100" workbookViewId="0">
      <selection activeCell="J1" sqref="C1:J1"/>
    </sheetView>
  </sheetViews>
  <sheetFormatPr baseColWidth="10" defaultRowHeight="14.4" x14ac:dyDescent="0.3"/>
  <cols>
    <col min="2" max="2" width="28" customWidth="1"/>
    <col min="3" max="3" width="25.88671875" style="1" customWidth="1"/>
    <col min="4" max="5" width="25.21875" style="1" customWidth="1"/>
    <col min="6" max="6" width="25.44140625" style="1" customWidth="1"/>
    <col min="7" max="7" width="26.109375" style="1" customWidth="1"/>
    <col min="8" max="8" width="23.21875" style="1" bestFit="1" customWidth="1"/>
    <col min="9" max="9" width="25.109375" style="1" customWidth="1"/>
    <col min="10" max="10" width="23.5546875" style="1" customWidth="1"/>
    <col min="11" max="11" width="2.6640625" style="1" customWidth="1"/>
    <col min="12" max="12" width="17.33203125" customWidth="1"/>
  </cols>
  <sheetData>
    <row r="1" spans="1:13" x14ac:dyDescent="0.3">
      <c r="B1" s="19"/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32</v>
      </c>
      <c r="L1" t="s">
        <v>23</v>
      </c>
      <c r="M1" s="3">
        <f>24*60*60*1000</f>
        <v>86400000</v>
      </c>
    </row>
    <row r="2" spans="1:13" x14ac:dyDescent="0.3">
      <c r="A2">
        <v>1</v>
      </c>
      <c r="B2" t="s">
        <v>16</v>
      </c>
      <c r="C2" s="5">
        <v>2443872.7039999999</v>
      </c>
      <c r="D2" s="5">
        <v>2486286.0048611099</v>
      </c>
      <c r="E2" s="5">
        <v>2463504.0881944401</v>
      </c>
      <c r="F2" s="5">
        <v>2476727.4048611098</v>
      </c>
      <c r="G2" s="5">
        <v>2461245.80347222</v>
      </c>
      <c r="H2" s="6" t="s">
        <v>31</v>
      </c>
      <c r="I2" s="14">
        <v>2415020.5</v>
      </c>
      <c r="J2" s="18">
        <v>2460835.7124999999</v>
      </c>
      <c r="L2" t="s">
        <v>26</v>
      </c>
      <c r="M2" s="4">
        <f>300000*1000</f>
        <v>300000000</v>
      </c>
    </row>
    <row r="3" spans="1:13" x14ac:dyDescent="0.3">
      <c r="A3">
        <v>2</v>
      </c>
      <c r="B3" t="s">
        <v>17</v>
      </c>
      <c r="C3" s="5">
        <v>2443872.7039999999</v>
      </c>
      <c r="D3" s="5">
        <v>2486286.0048611099</v>
      </c>
      <c r="E3" s="5">
        <v>2463504.0881944401</v>
      </c>
      <c r="F3" s="5">
        <v>2476727.4048611098</v>
      </c>
      <c r="G3" s="5">
        <v>2461245.80347222</v>
      </c>
      <c r="H3" s="6" t="s">
        <v>31</v>
      </c>
      <c r="I3" s="14">
        <v>2415020.5</v>
      </c>
      <c r="J3" s="18">
        <v>2460835.7124999999</v>
      </c>
      <c r="L3" t="s">
        <v>28</v>
      </c>
      <c r="M3">
        <f>150000000</f>
        <v>150000000</v>
      </c>
    </row>
    <row r="4" spans="1:13" x14ac:dyDescent="0.3">
      <c r="A4">
        <v>3</v>
      </c>
      <c r="B4" t="s">
        <v>18</v>
      </c>
      <c r="C4" s="5">
        <v>2443872.7039999999</v>
      </c>
      <c r="D4" s="5">
        <v>2486286.0048611099</v>
      </c>
      <c r="E4" s="5">
        <v>2463504.0881944401</v>
      </c>
      <c r="F4" s="5">
        <v>2476727.4048611098</v>
      </c>
      <c r="G4" s="5">
        <v>2461245.80347222</v>
      </c>
      <c r="H4" s="6" t="s">
        <v>31</v>
      </c>
      <c r="I4" s="15">
        <v>2415020.5</v>
      </c>
      <c r="J4" s="18">
        <v>2460835.7124999999</v>
      </c>
    </row>
    <row r="5" spans="1:13" x14ac:dyDescent="0.3">
      <c r="A5">
        <v>4</v>
      </c>
      <c r="B5" t="s">
        <v>19</v>
      </c>
      <c r="C5" s="21">
        <v>2443872.7039999999</v>
      </c>
      <c r="D5" s="21">
        <v>2486286.0048611099</v>
      </c>
      <c r="E5" s="22" t="s">
        <v>12</v>
      </c>
      <c r="F5" s="22" t="s">
        <v>14</v>
      </c>
      <c r="G5" s="24" t="s">
        <v>21</v>
      </c>
      <c r="H5" s="25" t="s">
        <v>31</v>
      </c>
      <c r="I5" s="25" t="s">
        <v>33</v>
      </c>
      <c r="J5" s="25" t="s">
        <v>36</v>
      </c>
    </row>
    <row r="6" spans="1:13" x14ac:dyDescent="0.3">
      <c r="A6">
        <v>5</v>
      </c>
      <c r="B6" t="s">
        <v>20</v>
      </c>
      <c r="C6" s="7">
        <v>2443872.7039999901</v>
      </c>
      <c r="D6" s="8" t="s">
        <v>9</v>
      </c>
      <c r="E6" s="9" t="s">
        <v>13</v>
      </c>
      <c r="F6" s="9" t="s">
        <v>15</v>
      </c>
      <c r="G6" s="9" t="s">
        <v>22</v>
      </c>
      <c r="H6" s="9" t="s">
        <v>30</v>
      </c>
      <c r="I6" s="16">
        <v>2415020.5</v>
      </c>
      <c r="J6" s="9" t="s">
        <v>37</v>
      </c>
    </row>
    <row r="7" spans="1:13" x14ac:dyDescent="0.3">
      <c r="B7" t="s">
        <v>7</v>
      </c>
      <c r="C7" s="10">
        <f>C6-C5</f>
        <v>-9.7788870334625244E-9</v>
      </c>
      <c r="D7" s="10">
        <v>8.0000000000000003E-10</v>
      </c>
      <c r="E7" s="10">
        <v>-1E-10</v>
      </c>
      <c r="F7" s="10">
        <f>0.0000000002</f>
        <v>2.0000000000000001E-10</v>
      </c>
      <c r="G7" s="10">
        <v>-4.0000000000000001E-10</v>
      </c>
      <c r="H7" s="10">
        <v>-2.0000000000000001E-10</v>
      </c>
      <c r="I7" s="10">
        <v>0</v>
      </c>
      <c r="J7" s="10">
        <v>1E-10</v>
      </c>
    </row>
    <row r="8" spans="1:13" x14ac:dyDescent="0.3">
      <c r="B8" t="s">
        <v>8</v>
      </c>
      <c r="C8" s="10">
        <f>C6-C2</f>
        <v>-9.7788870334625244E-9</v>
      </c>
      <c r="D8" s="10">
        <v>8.0000000000000003E-10</v>
      </c>
      <c r="E8" s="10">
        <v>2.8999999999999999E-9</v>
      </c>
      <c r="F8" s="10">
        <f>0.0000000012</f>
        <v>1.2E-9</v>
      </c>
      <c r="G8" s="10">
        <v>1.8E-9</v>
      </c>
      <c r="H8" s="10">
        <v>-2.0000000000000001E-10</v>
      </c>
      <c r="I8" s="10">
        <v>0</v>
      </c>
      <c r="J8" s="10">
        <v>1E-10</v>
      </c>
    </row>
    <row r="9" spans="1:13" x14ac:dyDescent="0.3">
      <c r="B9" t="s">
        <v>38</v>
      </c>
      <c r="C9" s="21">
        <v>2443872.7039999999</v>
      </c>
      <c r="D9" s="21">
        <v>2486286.0048611099</v>
      </c>
      <c r="E9" s="23" t="s">
        <v>39</v>
      </c>
      <c r="F9" s="23" t="s">
        <v>40</v>
      </c>
      <c r="G9" s="23">
        <v>2461245.80347222</v>
      </c>
      <c r="H9" s="23" t="s">
        <v>41</v>
      </c>
      <c r="I9" s="25">
        <v>2415020.5</v>
      </c>
      <c r="J9" s="25">
        <v>2460835.7124999999</v>
      </c>
    </row>
    <row r="10" spans="1:13" ht="72" x14ac:dyDescent="0.3">
      <c r="B10" t="s">
        <v>34</v>
      </c>
      <c r="C10" s="2" t="s">
        <v>11</v>
      </c>
      <c r="D10" s="2" t="s">
        <v>10</v>
      </c>
      <c r="E10" s="2" t="s">
        <v>10</v>
      </c>
      <c r="F10" s="2" t="s">
        <v>10</v>
      </c>
      <c r="G10" s="2"/>
      <c r="H10" s="2"/>
      <c r="I10" s="2" t="s">
        <v>11</v>
      </c>
      <c r="J10" s="17" t="s">
        <v>35</v>
      </c>
    </row>
    <row r="12" spans="1:13" x14ac:dyDescent="0.3">
      <c r="B12" t="s">
        <v>24</v>
      </c>
      <c r="C12" s="11">
        <f>C7*$M$1</f>
        <v>-0.84489583969116211</v>
      </c>
      <c r="D12" s="11">
        <f t="shared" ref="D12:G12" si="0">D7*$M$1</f>
        <v>6.9120000000000001E-2</v>
      </c>
      <c r="E12" s="11">
        <f t="shared" si="0"/>
        <v>-8.6400000000000001E-3</v>
      </c>
      <c r="F12" s="11">
        <f t="shared" si="0"/>
        <v>1.728E-2</v>
      </c>
      <c r="G12" s="11">
        <f t="shared" si="0"/>
        <v>-3.456E-2</v>
      </c>
      <c r="H12" s="11">
        <f t="shared" ref="H12:I12" si="1">H7*$M$1</f>
        <v>-1.728E-2</v>
      </c>
      <c r="I12" s="11">
        <f t="shared" si="1"/>
        <v>0</v>
      </c>
      <c r="J12" s="11">
        <f t="shared" ref="J12" si="2">J7*$M$1</f>
        <v>8.6400000000000001E-3</v>
      </c>
    </row>
    <row r="13" spans="1:13" x14ac:dyDescent="0.3">
      <c r="B13" t="s">
        <v>25</v>
      </c>
      <c r="C13" s="11">
        <f>C8*$M$1</f>
        <v>-0.84489583969116211</v>
      </c>
      <c r="D13" s="11">
        <f t="shared" ref="D13:G13" si="3">D8*$M$1</f>
        <v>6.9120000000000001E-2</v>
      </c>
      <c r="E13" s="11">
        <f t="shared" si="3"/>
        <v>0.25056</v>
      </c>
      <c r="F13" s="11">
        <f t="shared" si="3"/>
        <v>0.10367999999999999</v>
      </c>
      <c r="G13" s="11">
        <f t="shared" si="3"/>
        <v>0.15551999999999999</v>
      </c>
      <c r="H13" s="11">
        <f t="shared" ref="H13:I13" si="4">H8*$M$1</f>
        <v>-1.728E-2</v>
      </c>
      <c r="I13" s="11">
        <f t="shared" si="4"/>
        <v>0</v>
      </c>
      <c r="J13" s="11">
        <f t="shared" ref="J13" si="5">J8*$M$1</f>
        <v>8.6400000000000001E-3</v>
      </c>
    </row>
    <row r="15" spans="1:13" x14ac:dyDescent="0.3">
      <c r="B15" t="s">
        <v>27</v>
      </c>
      <c r="C15" s="12">
        <f>C12/1000*$M$2/1000</f>
        <v>-253.46875190734863</v>
      </c>
      <c r="D15" s="12">
        <f>D12/1000*$M$2/1000</f>
        <v>20.736000000000001</v>
      </c>
      <c r="E15" s="12">
        <f>E12/1000*$M$2/1000</f>
        <v>-2.5920000000000001</v>
      </c>
      <c r="F15" s="12">
        <f>F12/1000*$M$2/1000</f>
        <v>5.1840000000000002</v>
      </c>
      <c r="G15" s="12">
        <f>G12/1000*$M$2/1000</f>
        <v>-10.368</v>
      </c>
      <c r="H15" s="12">
        <f>H12/1000*$M$2/1000</f>
        <v>-5.1840000000000002</v>
      </c>
      <c r="I15" s="12">
        <f>I12/1000*$M$2/1000</f>
        <v>0</v>
      </c>
      <c r="J15" s="12">
        <f>J12/1000*$M$2/1000</f>
        <v>2.5920000000000001</v>
      </c>
    </row>
    <row r="16" spans="1:13" x14ac:dyDescent="0.3">
      <c r="B16" t="s">
        <v>29</v>
      </c>
      <c r="C16" s="13">
        <f>C15/$M$3</f>
        <v>-1.6897916793823243E-6</v>
      </c>
      <c r="D16" s="13">
        <f t="shared" ref="D16:J16" si="6">D15/$M$3</f>
        <v>1.3824E-7</v>
      </c>
      <c r="E16" s="13">
        <f t="shared" si="6"/>
        <v>-1.728E-8</v>
      </c>
      <c r="F16" s="13">
        <f t="shared" si="6"/>
        <v>3.456E-8</v>
      </c>
      <c r="G16" s="13">
        <f t="shared" si="6"/>
        <v>-6.912E-8</v>
      </c>
      <c r="H16" s="13">
        <f t="shared" si="6"/>
        <v>-3.456E-8</v>
      </c>
      <c r="I16" s="13">
        <f t="shared" si="6"/>
        <v>0</v>
      </c>
      <c r="J16" s="13">
        <f t="shared" si="6"/>
        <v>1.728E-8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2026-04-13T09:40:56Z</dcterms:created>
  <dcterms:modified xsi:type="dcterms:W3CDTF">2026-04-13T16:53:40Z</dcterms:modified>
</cp:coreProperties>
</file>