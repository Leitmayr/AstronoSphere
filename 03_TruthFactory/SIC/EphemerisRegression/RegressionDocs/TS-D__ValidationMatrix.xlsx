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source\repos\EphemerisRegression\EphemerisRegression\RegressionDocs\"/>
    </mc:Choice>
  </mc:AlternateContent>
  <xr:revisionPtr revIDLastSave="0" documentId="13_ncr:1_{9E966A8F-3BF0-4EDE-8765-327660E346D7}" xr6:coauthVersionLast="47" xr6:coauthVersionMax="47" xr10:uidLastSave="{00000000-0000-0000-0000-000000000000}"/>
  <bookViews>
    <workbookView xWindow="28680" yWindow="-120" windowWidth="29040" windowHeight="15720" xr2:uid="{349061C6-09EF-4920-ABFC-9F3DC683D9D7}"/>
  </bookViews>
  <sheets>
    <sheet name="C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" l="1"/>
  <c r="J30" i="1"/>
  <c r="I32" i="1"/>
  <c r="I30" i="1"/>
  <c r="H32" i="1"/>
  <c r="H30" i="1"/>
  <c r="G32" i="1"/>
  <c r="G30" i="1"/>
  <c r="F30" i="1"/>
  <c r="F32" i="1"/>
  <c r="E32" i="1"/>
  <c r="E30" i="1"/>
  <c r="D32" i="1"/>
  <c r="D30" i="1"/>
  <c r="J20" i="1"/>
  <c r="J18" i="1"/>
  <c r="I20" i="1"/>
  <c r="I18" i="1"/>
  <c r="H20" i="1"/>
  <c r="H18" i="1"/>
  <c r="G20" i="1"/>
  <c r="G18" i="1"/>
  <c r="F20" i="1"/>
  <c r="F18" i="1"/>
  <c r="E20" i="1"/>
  <c r="E18" i="1"/>
  <c r="D20" i="1"/>
  <c r="D18" i="1"/>
  <c r="C30" i="1"/>
  <c r="C32" i="1"/>
  <c r="C20" i="1"/>
  <c r="C18" i="1"/>
  <c r="J8" i="1"/>
  <c r="J6" i="1"/>
  <c r="I8" i="1"/>
  <c r="I6" i="1"/>
  <c r="H8" i="1"/>
  <c r="H6" i="1"/>
  <c r="G8" i="1"/>
  <c r="G6" i="1"/>
  <c r="F8" i="1"/>
  <c r="F6" i="1"/>
  <c r="E6" i="1"/>
  <c r="E8" i="1"/>
  <c r="D8" i="1"/>
  <c r="D6" i="1"/>
  <c r="C8" i="1"/>
  <c r="C6" i="1"/>
</calcChain>
</file>

<file path=xl/sharedStrings.xml><?xml version="1.0" encoding="utf-8"?>
<sst xmlns="http://schemas.openxmlformats.org/spreadsheetml/2006/main" count="118" uniqueCount="40">
  <si>
    <t>Core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</si>
  <si>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</si>
  <si>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</si>
  <si>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</si>
  <si>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</si>
  <si>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</si>
  <si>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</si>
  <si>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</si>
  <si>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</si>
  <si>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Start Data</t>
  </si>
  <si>
    <t>Stop Data</t>
  </si>
  <si>
    <t>RAW</t>
  </si>
  <si>
    <t>Json</t>
  </si>
  <si>
    <t>(Stop-Start)/30</t>
  </si>
  <si>
    <t>Last JD</t>
  </si>
  <si>
    <t>Stop API - LastJD</t>
  </si>
  <si>
    <t>Chunk Count</t>
  </si>
  <si>
    <t>RAW/Json</t>
  </si>
  <si>
    <t>Start API First File</t>
  </si>
  <si>
    <t>Stop API Last File</t>
  </si>
  <si>
    <t>Yes</t>
  </si>
  <si>
    <t>Equidistance</t>
  </si>
  <si>
    <t> Planet    Min Date (TDB)   Min JD      Max Date (TDB)   Max JD</t>
  </si>
  <si>
    <t>  --------- ---------------- ----------- ---------------- -----------</t>
  </si>
  <si>
    <t>  Mercury   -4713-11-25            0.5   9999-12-30       5373482.5</t>
  </si>
  <si>
    <t>  Venus     -4713-11-25            0.5   9999-12-30       5373482.5</t>
  </si>
  <si>
    <t>  Earth     -4713-11-25            0.5   9999-12-30       5373482.5</t>
  </si>
  <si>
    <t>  Mars       1600-01-02      2305448.5   2600-01-01       2670690.5</t>
  </si>
  <si>
    <t>  Jupiter    1600-01-11      2305457.5   2200-01-09       2524601.5</t>
  </si>
  <si>
    <t>  Saturn     1749-12-31      2360233.5   2250-01-05       2542859.5</t>
  </si>
  <si>
    <t>  Uranus     1600-01-05      2305451.5   2399-12-16       2597625.5</t>
  </si>
  <si>
    <t>  Neptune    1600-01-05      2305451.5   2400-01-01       2597641.5</t>
  </si>
  <si>
    <t>(Stop-Start)/180</t>
  </si>
  <si>
    <t>Extended</t>
  </si>
  <si>
    <t>Extreme</t>
  </si>
  <si>
    <t>(Stop-Start)/730</t>
  </si>
  <si>
    <t>Criteria</t>
  </si>
  <si>
    <t>Epoche 1 (Core Zone): 1600–2400, Step 30d (inner and outer planets)</t>
  </si>
  <si>
    <t>Epoche 2 (Extended Zone): 0–4000, Step 180d</t>
  </si>
  <si>
    <t>Epoche 3 (Extreme Zone): -4000–8000, Step 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</si>
</sst>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Consolas"/>
      <family val="3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778467</xdr:colOff>
      <xdr:row>17</xdr:row>
      <xdr:rowOff>11429</xdr:rowOff>
    </xdr:from>
    <xdr:to>
      <xdr:col>17</xdr:col>
      <xdr:colOff>326153</xdr:colOff>
      <xdr:row>35</xdr:row>
      <xdr:rowOff>21325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4AB4D3D-7C0E-093A-9BFE-480E90717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2642" y="3088004"/>
          <a:ext cx="3496751" cy="3271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B5E9-E487-43DB-99F8-E6FB3A583418}">
  <dimension ref="A1:R34"/>
  <sheetViews>
    <sheetView tabSelected="1" workbookViewId="0">
      <selection activeCell="M26" sqref="M26"/>
    </sheetView>
  </sheetViews>
  <sheetFormatPr baseColWidth="10" defaultRowHeight="14.4" x14ac:dyDescent="0.3"/>
  <cols>
    <col min="2" max="2" width="27" customWidth="1"/>
  </cols>
  <sheetData>
    <row r="1" spans="1:18" x14ac:dyDescent="0.3">
      <c r="A1" s="3" t="s">
        <v>0</v>
      </c>
      <c r="B1" s="3" t="s">
        <v>36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8" x14ac:dyDescent="0.3">
      <c r="A2" t="s">
        <v>11</v>
      </c>
      <c r="B2" t="s">
        <v>18</v>
      </c>
      <c r="C2" s="5">
        <v>2305447.5</v>
      </c>
      <c r="D2" s="5">
        <v>2305447.5</v>
      </c>
      <c r="E2" s="5">
        <v>2305447.5</v>
      </c>
      <c r="F2" s="5">
        <v>2305448.5</v>
      </c>
      <c r="G2" s="5">
        <v>2305457.5</v>
      </c>
      <c r="H2" s="5">
        <v>2360233.5</v>
      </c>
      <c r="I2" s="5">
        <v>2305451.5</v>
      </c>
      <c r="J2" s="5">
        <v>2305451.5</v>
      </c>
      <c r="N2" s="1" t="s">
        <v>22</v>
      </c>
      <c r="O2" s="2"/>
      <c r="P2" s="2"/>
      <c r="Q2" s="2"/>
      <c r="R2" s="2"/>
    </row>
    <row r="3" spans="1:18" x14ac:dyDescent="0.3">
      <c r="A3" t="s">
        <v>11</v>
      </c>
      <c r="B3" t="s">
        <v>19</v>
      </c>
      <c r="C3" s="5">
        <v>2597641.5</v>
      </c>
      <c r="D3" s="5">
        <v>2597641.5</v>
      </c>
      <c r="E3" s="5">
        <v>2597641.5</v>
      </c>
      <c r="F3" s="5">
        <v>2597641.5</v>
      </c>
      <c r="G3" s="5">
        <v>2524601.5</v>
      </c>
      <c r="H3" s="5">
        <v>2542859.5</v>
      </c>
      <c r="I3" s="5">
        <v>2597625.5</v>
      </c>
      <c r="J3" s="5">
        <v>2597641.5</v>
      </c>
      <c r="N3" s="1" t="s">
        <v>23</v>
      </c>
      <c r="O3" s="2"/>
      <c r="P3" s="2"/>
      <c r="Q3" s="2"/>
      <c r="R3" s="2"/>
    </row>
    <row r="4" spans="1:18" x14ac:dyDescent="0.3">
      <c r="A4" t="s">
        <v>12</v>
      </c>
      <c r="B4" t="s">
        <v>9</v>
      </c>
      <c r="C4" s="5">
        <v>2305447.5</v>
      </c>
      <c r="D4" s="5">
        <v>2305447.5</v>
      </c>
      <c r="E4" s="5">
        <v>2305447.5</v>
      </c>
      <c r="F4" s="5">
        <v>2305448.5</v>
      </c>
      <c r="G4" s="5">
        <v>2305457.5</v>
      </c>
      <c r="H4" s="5">
        <v>2360233.5</v>
      </c>
      <c r="I4" s="5">
        <v>2305451.5</v>
      </c>
      <c r="J4" s="5">
        <v>2305451.5</v>
      </c>
      <c r="N4" s="1" t="s">
        <v>24</v>
      </c>
      <c r="O4" s="2"/>
      <c r="P4" s="2"/>
      <c r="Q4" s="2"/>
      <c r="R4" s="2"/>
    </row>
    <row r="5" spans="1:18" x14ac:dyDescent="0.3">
      <c r="A5" t="s">
        <v>12</v>
      </c>
      <c r="B5" t="s">
        <v>10</v>
      </c>
      <c r="C5" s="5">
        <v>2597617.5</v>
      </c>
      <c r="D5" s="5">
        <v>2597617.5</v>
      </c>
      <c r="E5" s="5">
        <v>2597617.5</v>
      </c>
      <c r="F5" s="5">
        <v>2597618.5</v>
      </c>
      <c r="G5" s="5">
        <v>2524577.5</v>
      </c>
      <c r="H5" s="5">
        <v>2542843.5</v>
      </c>
      <c r="I5" s="5">
        <v>2597621.5</v>
      </c>
      <c r="J5" s="5">
        <v>2597621.5</v>
      </c>
      <c r="N5" s="1" t="s">
        <v>25</v>
      </c>
      <c r="O5" s="2"/>
      <c r="P5" s="2"/>
      <c r="Q5" s="2"/>
      <c r="R5" s="2"/>
    </row>
    <row r="6" spans="1:18" x14ac:dyDescent="0.3">
      <c r="A6" t="s">
        <v>12</v>
      </c>
      <c r="B6" t="s">
        <v>13</v>
      </c>
      <c r="C6" s="5">
        <f t="shared" ref="C6:J6" si="0">(C5-C2)/30</f>
        <v>9739</v>
      </c>
      <c r="D6" s="5">
        <f t="shared" si="0"/>
        <v>9739</v>
      </c>
      <c r="E6" s="5">
        <f t="shared" si="0"/>
        <v>9739</v>
      </c>
      <c r="F6" s="5">
        <f t="shared" si="0"/>
        <v>9739</v>
      </c>
      <c r="G6" s="5">
        <f t="shared" si="0"/>
        <v>7304</v>
      </c>
      <c r="H6" s="5">
        <f t="shared" si="0"/>
        <v>6087</v>
      </c>
      <c r="I6" s="5">
        <f t="shared" si="0"/>
        <v>9739</v>
      </c>
      <c r="J6" s="5">
        <f t="shared" si="0"/>
        <v>9739</v>
      </c>
      <c r="N6" s="1" t="s">
        <v>26</v>
      </c>
      <c r="O6" s="2"/>
      <c r="P6" s="2"/>
      <c r="Q6" s="2"/>
      <c r="R6" s="2"/>
    </row>
    <row r="7" spans="1:18" x14ac:dyDescent="0.3">
      <c r="A7" t="s">
        <v>12</v>
      </c>
      <c r="B7" t="s">
        <v>14</v>
      </c>
      <c r="C7" s="5">
        <v>2597617.5</v>
      </c>
      <c r="D7" s="5">
        <v>2597617.5</v>
      </c>
      <c r="E7" s="5">
        <v>2597617.5</v>
      </c>
      <c r="F7" s="5">
        <v>2597618.5</v>
      </c>
      <c r="G7" s="5">
        <v>2524577.5</v>
      </c>
      <c r="H7" s="5">
        <v>2542843.5</v>
      </c>
      <c r="I7" s="5">
        <v>2597621.5</v>
      </c>
      <c r="J7" s="5">
        <v>2597621.5</v>
      </c>
      <c r="N7" s="1" t="s">
        <v>27</v>
      </c>
      <c r="O7" s="2"/>
      <c r="P7" s="2"/>
      <c r="Q7" s="2"/>
      <c r="R7" s="2"/>
    </row>
    <row r="8" spans="1:18" x14ac:dyDescent="0.3">
      <c r="A8" t="s">
        <v>17</v>
      </c>
      <c r="B8" t="s">
        <v>15</v>
      </c>
      <c r="C8" s="5">
        <f t="shared" ref="C8:J8" si="1">C3-C7</f>
        <v>24</v>
      </c>
      <c r="D8" s="5">
        <f t="shared" si="1"/>
        <v>24</v>
      </c>
      <c r="E8" s="5">
        <f t="shared" si="1"/>
        <v>24</v>
      </c>
      <c r="F8" s="5">
        <f t="shared" si="1"/>
        <v>23</v>
      </c>
      <c r="G8" s="5">
        <f t="shared" si="1"/>
        <v>24</v>
      </c>
      <c r="H8" s="5">
        <f t="shared" si="1"/>
        <v>16</v>
      </c>
      <c r="I8" s="5">
        <f t="shared" si="1"/>
        <v>4</v>
      </c>
      <c r="J8" s="5">
        <f t="shared" si="1"/>
        <v>20</v>
      </c>
      <c r="N8" s="1" t="s">
        <v>28</v>
      </c>
      <c r="O8" s="2"/>
      <c r="P8" s="2"/>
      <c r="Q8" s="2"/>
      <c r="R8" s="2"/>
    </row>
    <row r="9" spans="1:18" x14ac:dyDescent="0.3">
      <c r="A9" t="s">
        <v>11</v>
      </c>
      <c r="B9" t="s">
        <v>16</v>
      </c>
      <c r="C9" s="5">
        <v>5</v>
      </c>
      <c r="D9" s="5">
        <v>5</v>
      </c>
      <c r="E9" s="5">
        <v>5</v>
      </c>
      <c r="F9" s="5">
        <v>5</v>
      </c>
      <c r="G9" s="5">
        <v>4</v>
      </c>
      <c r="H9" s="5">
        <v>4</v>
      </c>
      <c r="I9" s="5">
        <v>5</v>
      </c>
      <c r="J9" s="5">
        <v>5</v>
      </c>
      <c r="N9" s="1" t="s">
        <v>29</v>
      </c>
      <c r="O9" s="2"/>
      <c r="P9" s="2"/>
      <c r="Q9" s="2"/>
      <c r="R9" s="2"/>
    </row>
    <row r="10" spans="1:18" x14ac:dyDescent="0.3">
      <c r="B10" t="s">
        <v>21</v>
      </c>
      <c r="C10" s="5" t="s">
        <v>20</v>
      </c>
      <c r="D10" s="5" t="s">
        <v>20</v>
      </c>
      <c r="E10" s="5" t="s">
        <v>20</v>
      </c>
      <c r="F10" s="5" t="s">
        <v>20</v>
      </c>
      <c r="G10" s="5" t="s">
        <v>20</v>
      </c>
      <c r="H10" s="5" t="s">
        <v>20</v>
      </c>
      <c r="I10" s="5" t="s">
        <v>20</v>
      </c>
      <c r="J10" s="5" t="s">
        <v>20</v>
      </c>
      <c r="N10" s="1" t="s">
        <v>30</v>
      </c>
      <c r="O10" s="2"/>
      <c r="P10" s="2"/>
      <c r="Q10" s="2"/>
      <c r="R10" s="2"/>
    </row>
    <row r="11" spans="1:18" x14ac:dyDescent="0.3">
      <c r="C11" s="6"/>
      <c r="D11" s="6"/>
      <c r="E11" s="6"/>
      <c r="F11" s="6"/>
      <c r="G11" s="6"/>
      <c r="H11" s="6"/>
      <c r="I11" s="6"/>
      <c r="J11" s="6"/>
      <c r="N11" s="1" t="s">
        <v>31</v>
      </c>
      <c r="O11" s="2"/>
      <c r="P11" s="2"/>
      <c r="Q11" s="2"/>
      <c r="R11" s="2"/>
    </row>
    <row r="12" spans="1:18" x14ac:dyDescent="0.3">
      <c r="C12" s="6"/>
      <c r="D12" s="6"/>
      <c r="E12" s="6"/>
      <c r="F12" s="6"/>
      <c r="G12" s="6"/>
      <c r="H12" s="6"/>
      <c r="I12" s="6"/>
      <c r="J12" s="6"/>
      <c r="N12" s="2"/>
      <c r="O12" s="2"/>
      <c r="P12" s="2"/>
      <c r="Q12" s="2"/>
      <c r="R12" s="2"/>
    </row>
    <row r="13" spans="1:18" x14ac:dyDescent="0.3">
      <c r="A13" s="3" t="s">
        <v>33</v>
      </c>
      <c r="B13" s="3" t="s">
        <v>36</v>
      </c>
      <c r="C13" s="4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</row>
    <row r="14" spans="1:18" x14ac:dyDescent="0.3">
      <c r="A14" t="s">
        <v>11</v>
      </c>
      <c r="B14" t="s">
        <v>18</v>
      </c>
      <c r="C14" s="5">
        <v>1721059.5</v>
      </c>
      <c r="D14" s="5">
        <v>1721059.5</v>
      </c>
      <c r="E14" s="5">
        <v>1721059.5</v>
      </c>
      <c r="F14" s="5">
        <v>2305448.5</v>
      </c>
      <c r="G14" s="5">
        <v>2305457.5</v>
      </c>
      <c r="H14" s="5">
        <v>2360233.5</v>
      </c>
      <c r="I14" s="5">
        <v>2305451.5</v>
      </c>
      <c r="J14" s="5">
        <v>2305451.5</v>
      </c>
      <c r="N14" s="1" t="s">
        <v>37</v>
      </c>
    </row>
    <row r="15" spans="1:18" x14ac:dyDescent="0.3">
      <c r="A15" t="s">
        <v>11</v>
      </c>
      <c r="B15" t="s">
        <v>19</v>
      </c>
      <c r="C15" s="5">
        <v>3182029.5</v>
      </c>
      <c r="D15" s="5">
        <v>3182029.5</v>
      </c>
      <c r="E15" s="5">
        <v>3182029.5</v>
      </c>
      <c r="F15" s="5">
        <v>2670690.5</v>
      </c>
      <c r="G15" s="5">
        <v>2524601.5</v>
      </c>
      <c r="H15" s="5">
        <v>2542859.5</v>
      </c>
      <c r="I15" s="5">
        <v>2597625.5</v>
      </c>
      <c r="J15" s="5">
        <v>2597625.5</v>
      </c>
      <c r="N15" s="1" t="s">
        <v>38</v>
      </c>
    </row>
    <row r="16" spans="1:18" x14ac:dyDescent="0.3">
      <c r="A16" t="s">
        <v>12</v>
      </c>
      <c r="B16" t="s">
        <v>9</v>
      </c>
      <c r="C16" s="5">
        <v>1721059.5</v>
      </c>
      <c r="D16" s="5">
        <v>1721059.5</v>
      </c>
      <c r="E16" s="5">
        <v>1721059.5</v>
      </c>
      <c r="F16" s="5">
        <v>2305448.5</v>
      </c>
      <c r="G16" s="5">
        <v>2305457.5</v>
      </c>
      <c r="H16" s="5">
        <v>2360233.5</v>
      </c>
      <c r="I16" s="5">
        <v>2305451.5</v>
      </c>
      <c r="J16" s="5">
        <v>2305451.5</v>
      </c>
      <c r="N16" s="1" t="s">
        <v>39</v>
      </c>
    </row>
    <row r="17" spans="1:10" x14ac:dyDescent="0.3">
      <c r="A17" t="s">
        <v>12</v>
      </c>
      <c r="B17" t="s">
        <v>10</v>
      </c>
      <c r="C17" s="5">
        <v>3181939.5</v>
      </c>
      <c r="D17" s="5">
        <v>3181939.5</v>
      </c>
      <c r="E17" s="5">
        <v>3181939.5</v>
      </c>
      <c r="F17" s="5">
        <v>2670668.5</v>
      </c>
      <c r="G17" s="5">
        <v>2524517.5</v>
      </c>
      <c r="H17" s="5">
        <v>2542753.5</v>
      </c>
      <c r="I17" s="5">
        <v>2597591.5</v>
      </c>
      <c r="J17" s="5">
        <v>2597591.5</v>
      </c>
    </row>
    <row r="18" spans="1:10" x14ac:dyDescent="0.3">
      <c r="A18" t="s">
        <v>12</v>
      </c>
      <c r="B18" t="s">
        <v>32</v>
      </c>
      <c r="C18" s="5">
        <f t="shared" ref="C18:J18" si="2">(C17-C14)/180</f>
        <v>8116</v>
      </c>
      <c r="D18" s="5">
        <f t="shared" si="2"/>
        <v>8116</v>
      </c>
      <c r="E18" s="5">
        <f t="shared" si="2"/>
        <v>8116</v>
      </c>
      <c r="F18" s="5">
        <f t="shared" si="2"/>
        <v>2029</v>
      </c>
      <c r="G18" s="5">
        <f t="shared" si="2"/>
        <v>1217</v>
      </c>
      <c r="H18" s="5">
        <f t="shared" si="2"/>
        <v>1014</v>
      </c>
      <c r="I18" s="5">
        <f t="shared" si="2"/>
        <v>1623</v>
      </c>
      <c r="J18" s="5">
        <f t="shared" si="2"/>
        <v>1623</v>
      </c>
    </row>
    <row r="19" spans="1:10" x14ac:dyDescent="0.3">
      <c r="A19" t="s">
        <v>12</v>
      </c>
      <c r="B19" t="s">
        <v>14</v>
      </c>
      <c r="C19" s="5">
        <v>3181939.5</v>
      </c>
      <c r="D19" s="5">
        <v>3181939.5</v>
      </c>
      <c r="E19" s="5">
        <v>3181939.5</v>
      </c>
      <c r="F19" s="5">
        <v>2670668.5</v>
      </c>
      <c r="G19" s="5">
        <v>2524517.5</v>
      </c>
      <c r="H19" s="5">
        <v>2542753.5</v>
      </c>
      <c r="I19" s="5">
        <v>2597591.5</v>
      </c>
      <c r="J19" s="5">
        <v>2597591.5</v>
      </c>
    </row>
    <row r="20" spans="1:10" x14ac:dyDescent="0.3">
      <c r="A20" t="s">
        <v>17</v>
      </c>
      <c r="B20" t="s">
        <v>15</v>
      </c>
      <c r="C20" s="5">
        <f t="shared" ref="C20:J20" si="3">C15-C19</f>
        <v>90</v>
      </c>
      <c r="D20" s="5">
        <f t="shared" si="3"/>
        <v>90</v>
      </c>
      <c r="E20" s="5">
        <f t="shared" si="3"/>
        <v>90</v>
      </c>
      <c r="F20" s="5">
        <f t="shared" si="3"/>
        <v>22</v>
      </c>
      <c r="G20" s="5">
        <f t="shared" si="3"/>
        <v>84</v>
      </c>
      <c r="H20" s="5">
        <f t="shared" si="3"/>
        <v>106</v>
      </c>
      <c r="I20" s="5">
        <f t="shared" si="3"/>
        <v>34</v>
      </c>
      <c r="J20" s="5">
        <f t="shared" si="3"/>
        <v>34</v>
      </c>
    </row>
    <row r="21" spans="1:10" x14ac:dyDescent="0.3">
      <c r="A21" t="s">
        <v>11</v>
      </c>
      <c r="B21" t="s">
        <v>16</v>
      </c>
      <c r="C21" s="5">
        <v>5</v>
      </c>
      <c r="D21" s="5">
        <v>5</v>
      </c>
      <c r="E21" s="5">
        <v>5</v>
      </c>
      <c r="F21" s="5">
        <v>2</v>
      </c>
      <c r="G21" s="5">
        <v>1</v>
      </c>
      <c r="H21" s="5">
        <v>1</v>
      </c>
      <c r="I21" s="5">
        <v>1</v>
      </c>
      <c r="J21" s="5">
        <v>1</v>
      </c>
    </row>
    <row r="22" spans="1:10" x14ac:dyDescent="0.3">
      <c r="B22" t="s">
        <v>21</v>
      </c>
      <c r="C22" s="5" t="s">
        <v>20</v>
      </c>
      <c r="D22" s="5" t="s">
        <v>20</v>
      </c>
      <c r="E22" s="5" t="s">
        <v>20</v>
      </c>
      <c r="F22" s="5" t="s">
        <v>20</v>
      </c>
      <c r="G22" s="5" t="s">
        <v>20</v>
      </c>
      <c r="H22" s="5" t="s">
        <v>20</v>
      </c>
      <c r="I22" s="5" t="s">
        <v>20</v>
      </c>
      <c r="J22" s="5" t="s">
        <v>20</v>
      </c>
    </row>
    <row r="23" spans="1:10" x14ac:dyDescent="0.3">
      <c r="C23" s="6"/>
      <c r="D23" s="6"/>
      <c r="E23" s="6"/>
      <c r="F23" s="6"/>
      <c r="G23" s="6"/>
      <c r="H23" s="6"/>
      <c r="I23" s="6"/>
      <c r="J23" s="6"/>
    </row>
    <row r="24" spans="1:10" x14ac:dyDescent="0.3"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3" t="s">
        <v>34</v>
      </c>
      <c r="B25" s="3" t="s">
        <v>36</v>
      </c>
      <c r="C25" s="4" t="s">
        <v>1</v>
      </c>
      <c r="D25" s="4" t="s">
        <v>2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8</v>
      </c>
    </row>
    <row r="26" spans="1:10" x14ac:dyDescent="0.3">
      <c r="A26" t="s">
        <v>11</v>
      </c>
      <c r="B26" t="s">
        <v>18</v>
      </c>
      <c r="C26" s="5">
        <v>260089.5</v>
      </c>
      <c r="D26" s="5">
        <v>260089.5</v>
      </c>
      <c r="E26" s="5">
        <v>260089.5</v>
      </c>
      <c r="F26" s="5">
        <v>2305448.5</v>
      </c>
      <c r="G26" s="5">
        <v>2305457.5</v>
      </c>
      <c r="H26" s="5">
        <v>2360233.5</v>
      </c>
      <c r="I26" s="5">
        <v>2305451.5</v>
      </c>
      <c r="J26" s="5">
        <v>2305451.5</v>
      </c>
    </row>
    <row r="27" spans="1:10" x14ac:dyDescent="0.3">
      <c r="A27" t="s">
        <v>11</v>
      </c>
      <c r="B27" t="s">
        <v>19</v>
      </c>
      <c r="C27" s="5">
        <v>4642999.5</v>
      </c>
      <c r="D27" s="5">
        <v>4642999.5</v>
      </c>
      <c r="E27" s="5">
        <v>4642999.5</v>
      </c>
      <c r="F27" s="5">
        <v>2670690.5</v>
      </c>
      <c r="G27" s="5">
        <v>2524601.5</v>
      </c>
      <c r="H27" s="5">
        <v>2542859.5</v>
      </c>
      <c r="I27" s="5">
        <v>2597625.5</v>
      </c>
      <c r="J27" s="5">
        <v>2597641.5</v>
      </c>
    </row>
    <row r="28" spans="1:10" x14ac:dyDescent="0.3">
      <c r="A28" t="s">
        <v>12</v>
      </c>
      <c r="B28" t="s">
        <v>9</v>
      </c>
      <c r="C28" s="5">
        <v>260089.5</v>
      </c>
      <c r="D28" s="5">
        <v>260089.5</v>
      </c>
      <c r="E28" s="5">
        <v>260089.5</v>
      </c>
      <c r="F28" s="5">
        <v>2305448.5</v>
      </c>
      <c r="G28" s="5">
        <v>2305457.5</v>
      </c>
      <c r="H28" s="5">
        <v>2360233.5</v>
      </c>
      <c r="I28" s="5">
        <v>2305451.5</v>
      </c>
      <c r="J28" s="5">
        <v>2305451.5</v>
      </c>
    </row>
    <row r="29" spans="1:10" x14ac:dyDescent="0.3">
      <c r="A29" t="s">
        <v>12</v>
      </c>
      <c r="B29" t="s">
        <v>10</v>
      </c>
      <c r="C29" s="5">
        <v>4642279.5</v>
      </c>
      <c r="D29" s="5">
        <v>4642279.5</v>
      </c>
      <c r="E29" s="5">
        <v>4642279.5</v>
      </c>
      <c r="F29" s="5">
        <v>2670448.5</v>
      </c>
      <c r="G29" s="5">
        <v>2524457.5</v>
      </c>
      <c r="H29" s="5">
        <v>2542733.5</v>
      </c>
      <c r="I29" s="5">
        <v>2597451.5</v>
      </c>
      <c r="J29" s="5">
        <v>2597451.5</v>
      </c>
    </row>
    <row r="30" spans="1:10" x14ac:dyDescent="0.3">
      <c r="A30" t="s">
        <v>12</v>
      </c>
      <c r="B30" t="s">
        <v>35</v>
      </c>
      <c r="C30" s="5">
        <f>(C29-C26)/730</f>
        <v>6003</v>
      </c>
      <c r="D30" s="5">
        <f>(D29-D26)/730</f>
        <v>6003</v>
      </c>
      <c r="E30" s="5">
        <f>(E29-E26)/730</f>
        <v>6003</v>
      </c>
      <c r="F30" s="5">
        <f>(F29-F26)/730</f>
        <v>500</v>
      </c>
      <c r="G30" s="5">
        <f>(G29-G26)/730</f>
        <v>300</v>
      </c>
      <c r="H30" s="5">
        <f>(H29-H26)/730</f>
        <v>250</v>
      </c>
      <c r="I30" s="5">
        <f>(I29-I26)/730</f>
        <v>400</v>
      </c>
      <c r="J30" s="5">
        <f>(J29-J26)/730</f>
        <v>400</v>
      </c>
    </row>
    <row r="31" spans="1:10" x14ac:dyDescent="0.3">
      <c r="A31" t="s">
        <v>12</v>
      </c>
      <c r="B31" t="s">
        <v>14</v>
      </c>
      <c r="C31" s="5">
        <v>4642279.5</v>
      </c>
      <c r="D31" s="5">
        <v>4642279.5</v>
      </c>
      <c r="E31" s="5">
        <v>4642279.5</v>
      </c>
      <c r="F31" s="5">
        <v>2670448.5</v>
      </c>
      <c r="G31" s="5">
        <v>2524457.5</v>
      </c>
      <c r="H31" s="5">
        <v>2542733.5</v>
      </c>
      <c r="I31" s="5">
        <v>2597451.5</v>
      </c>
      <c r="J31" s="5">
        <v>2597451.5</v>
      </c>
    </row>
    <row r="32" spans="1:10" x14ac:dyDescent="0.3">
      <c r="A32" t="s">
        <v>17</v>
      </c>
      <c r="B32" t="s">
        <v>15</v>
      </c>
      <c r="C32" s="5">
        <f>C27-C31</f>
        <v>720</v>
      </c>
      <c r="D32" s="5">
        <f>D27-D31</f>
        <v>720</v>
      </c>
      <c r="E32" s="5">
        <f>E27-E31</f>
        <v>720</v>
      </c>
      <c r="F32" s="5">
        <f>F27-F31</f>
        <v>242</v>
      </c>
      <c r="G32" s="5">
        <f>G27-G31</f>
        <v>144</v>
      </c>
      <c r="H32" s="5">
        <f>H27-H31</f>
        <v>126</v>
      </c>
      <c r="I32" s="5">
        <f>I27-I31</f>
        <v>174</v>
      </c>
      <c r="J32" s="5">
        <f>J27-J31</f>
        <v>190</v>
      </c>
    </row>
    <row r="33" spans="1:10" x14ac:dyDescent="0.3">
      <c r="A33" t="s">
        <v>11</v>
      </c>
      <c r="B33" t="s">
        <v>16</v>
      </c>
      <c r="C33" s="5">
        <v>4</v>
      </c>
      <c r="D33" s="5">
        <v>4</v>
      </c>
      <c r="E33" s="5">
        <v>4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</row>
    <row r="34" spans="1:10" x14ac:dyDescent="0.3">
      <c r="B34" t="s">
        <v>21</v>
      </c>
      <c r="C34" s="5" t="s">
        <v>20</v>
      </c>
      <c r="D34" s="5" t="s">
        <v>20</v>
      </c>
      <c r="E34" s="5" t="s">
        <v>20</v>
      </c>
      <c r="F34" s="5" t="s">
        <v>20</v>
      </c>
      <c r="G34" s="5" t="s">
        <v>20</v>
      </c>
      <c r="H34" s="5" t="s">
        <v>20</v>
      </c>
      <c r="I34" s="5" t="s">
        <v>20</v>
      </c>
      <c r="J34" s="5" t="s">
        <v>20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Hiemer</dc:creator>
  <cp:lastModifiedBy>Marcus Hiemer</cp:lastModifiedBy>
  <dcterms:created xsi:type="dcterms:W3CDTF">2026-02-25T20:51:36Z</dcterms:created>
  <dcterms:modified xsi:type="dcterms:W3CDTF">2026-02-25T21:48:44Z</dcterms:modified>
</cp:coreProperties>
</file>