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cu\source\repos\AstroWorkspace\AstronoSphere\80_Documentation\09_development\01_PM\M2\"/>
    </mc:Choice>
  </mc:AlternateContent>
  <xr:revisionPtr revIDLastSave="0" documentId="13_ncr:1_{D26D103E-456C-404A-BB6E-51E97B49A7BC}" xr6:coauthVersionLast="47" xr6:coauthVersionMax="47" xr10:uidLastSave="{00000000-0000-0000-0000-000000000000}"/>
  <bookViews>
    <workbookView xWindow="28680" yWindow="-120" windowWidth="29040" windowHeight="15720" xr2:uid="{DA5943BC-EC3C-41B1-925E-DEBDA5452F6B}"/>
  </bookViews>
  <sheets>
    <sheet name="Tabelle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41" i="1" l="1"/>
  <c r="F50" i="1"/>
  <c r="H50" i="1" s="1"/>
  <c r="F48" i="1"/>
  <c r="H48" i="1" s="1"/>
  <c r="F46" i="1"/>
  <c r="H46" i="1" s="1"/>
  <c r="F44" i="1"/>
  <c r="H44" i="1" s="1"/>
  <c r="K43" i="1"/>
  <c r="K42" i="1"/>
  <c r="J42" i="1"/>
  <c r="F42" i="1"/>
  <c r="H42" i="1" s="1"/>
  <c r="H40" i="1"/>
  <c r="D29" i="1"/>
  <c r="D31" i="1" s="1"/>
  <c r="E25" i="1" s="1"/>
  <c r="F24" i="1"/>
  <c r="E24" i="1"/>
  <c r="D18" i="1"/>
  <c r="D20" i="1" s="1"/>
  <c r="E14" i="1" s="1"/>
  <c r="G13" i="1"/>
  <c r="F13" i="1"/>
  <c r="J44" i="1" s="1"/>
  <c r="E13" i="1"/>
  <c r="D7" i="1"/>
  <c r="L2" i="1"/>
  <c r="K2" i="1"/>
  <c r="J2" i="1"/>
  <c r="I2" i="1"/>
  <c r="E50" i="1" s="1"/>
  <c r="G50" i="1" s="1"/>
  <c r="H2" i="1"/>
  <c r="E48" i="1" s="1"/>
  <c r="G48" i="1" s="1"/>
  <c r="G2" i="1"/>
  <c r="E46" i="1" s="1"/>
  <c r="G46" i="1" s="1"/>
  <c r="F2" i="1"/>
  <c r="E44" i="1" s="1"/>
  <c r="G44" i="1" s="1"/>
  <c r="E2" i="1"/>
  <c r="G42" i="1" s="1"/>
  <c r="E26" i="1" l="1"/>
  <c r="E29" i="1"/>
  <c r="E31" i="1" s="1"/>
  <c r="F25" i="1" s="1"/>
  <c r="F29" i="1" s="1"/>
  <c r="F31" i="1" s="1"/>
  <c r="E15" i="1"/>
  <c r="E18" i="1"/>
  <c r="J35" i="1"/>
  <c r="J41" i="1" s="1"/>
  <c r="D9" i="1"/>
  <c r="E3" i="1" s="1"/>
  <c r="H39" i="1"/>
  <c r="G52" i="1"/>
  <c r="H52" i="1" s="1"/>
  <c r="E52" i="1"/>
  <c r="E20" i="1" l="1"/>
  <c r="F14" i="1" s="1"/>
  <c r="K41" i="1"/>
  <c r="E4" i="1"/>
  <c r="E7" i="1"/>
  <c r="E35" i="1"/>
  <c r="G41" i="1"/>
  <c r="F18" i="1" l="1"/>
  <c r="F20" i="1" s="1"/>
  <c r="G14" i="1" s="1"/>
  <c r="G18" i="1" s="1"/>
  <c r="G20" i="1" s="1"/>
  <c r="J43" i="1"/>
  <c r="E9" i="1"/>
  <c r="F3" i="1" s="1"/>
  <c r="H41" i="1"/>
  <c r="F4" i="1" l="1"/>
  <c r="F7" i="1"/>
  <c r="E43" i="1"/>
  <c r="G43" i="1" s="1"/>
  <c r="F9" i="1" l="1"/>
  <c r="G3" i="1" s="1"/>
  <c r="F43" i="1"/>
  <c r="H43" i="1" s="1"/>
  <c r="G4" i="1" l="1"/>
  <c r="G7" i="1"/>
  <c r="E45" i="1"/>
  <c r="G45" i="1" s="1"/>
  <c r="G9" i="1" l="1"/>
  <c r="H3" i="1" s="1"/>
  <c r="F45" i="1"/>
  <c r="H45" i="1" s="1"/>
  <c r="H4" i="1" l="1"/>
  <c r="H7" i="1"/>
  <c r="E47" i="1"/>
  <c r="G47" i="1" s="1"/>
  <c r="H9" i="1" l="1"/>
  <c r="I3" i="1" s="1"/>
  <c r="F47" i="1"/>
  <c r="H47" i="1" s="1"/>
  <c r="I4" i="1" l="1"/>
  <c r="I7" i="1"/>
  <c r="E49" i="1"/>
  <c r="G49" i="1" s="1"/>
  <c r="I9" i="1" l="1"/>
  <c r="J3" i="1" s="1"/>
  <c r="F49" i="1"/>
  <c r="H49" i="1" s="1"/>
  <c r="J4" i="1" l="1"/>
  <c r="J7" i="1"/>
  <c r="J9" i="1" s="1"/>
  <c r="K3" i="1" s="1"/>
  <c r="K7" i="1" s="1"/>
  <c r="K9" i="1" s="1"/>
  <c r="L3" i="1" s="1"/>
  <c r="L7" i="1" s="1"/>
  <c r="L9" i="1" s="1"/>
  <c r="E51" i="1"/>
  <c r="F51" i="1" s="1"/>
  <c r="G51" i="1"/>
  <c r="H51" i="1" s="1"/>
</calcChain>
</file>

<file path=xl/sharedStrings.xml><?xml version="1.0" encoding="utf-8"?>
<sst xmlns="http://schemas.openxmlformats.org/spreadsheetml/2006/main" count="73" uniqueCount="54">
  <si>
    <t>Steps</t>
  </si>
  <si>
    <t>UTC</t>
  </si>
  <si>
    <t>1600-1-1</t>
  </si>
  <si>
    <t>MVH1</t>
  </si>
  <si>
    <t>JD Start</t>
  </si>
  <si>
    <t>Delta Days</t>
  </si>
  <si>
    <t>Delta Steps</t>
  </si>
  <si>
    <t>JD end</t>
  </si>
  <si>
    <t>1699-12-17</t>
  </si>
  <si>
    <t>1799-12-03</t>
  </si>
  <si>
    <t>1899-12-19</t>
  </si>
  <si>
    <t>JD+30</t>
  </si>
  <si>
    <t>UTC+30</t>
  </si>
  <si>
    <t>1700-01-16</t>
  </si>
  <si>
    <t>1800-01-02</t>
  </si>
  <si>
    <t>0-1-1</t>
  </si>
  <si>
    <t>MXT1</t>
  </si>
  <si>
    <t>MVH2</t>
  </si>
  <si>
    <t>JD End</t>
  </si>
  <si>
    <t>999-12-30</t>
  </si>
  <si>
    <t>JD+211</t>
  </si>
  <si>
    <t>UTC+211</t>
  </si>
  <si>
    <t>1000-07-29</t>
  </si>
  <si>
    <t>-4000-1-1</t>
  </si>
  <si>
    <t>MXT2</t>
  </si>
  <si>
    <t>MVH3</t>
  </si>
  <si>
    <t>-2-1-6</t>
  </si>
  <si>
    <t>JD+809</t>
  </si>
  <si>
    <t>UTC+809</t>
  </si>
  <si>
    <t>0-03-25</t>
  </si>
  <si>
    <t>1st guess</t>
  </si>
  <si>
    <t>1749-12-25</t>
  </si>
  <si>
    <t>1600-03-23</t>
  </si>
  <si>
    <t>JD_Start</t>
  </si>
  <si>
    <t>JD_End</t>
  </si>
  <si>
    <t>2nd guess</t>
  </si>
  <si>
    <t>Saturn</t>
  </si>
  <si>
    <t>Jupiter</t>
  </si>
  <si>
    <t>Mars</t>
  </si>
  <si>
    <t>1.1</t>
  </si>
  <si>
    <t>2.1</t>
  </si>
  <si>
    <t>1600-01-31</t>
  </si>
  <si>
    <t>1.2</t>
  </si>
  <si>
    <t>2.2</t>
  </si>
  <si>
    <t>2360253.5</t>
  </si>
  <si>
    <t>1750-01-24</t>
  </si>
  <si>
    <t>1750-01-20</t>
  </si>
  <si>
    <t>1.3</t>
  </si>
  <si>
    <t>2.3</t>
  </si>
  <si>
    <t>1.4</t>
  </si>
  <si>
    <t>2.4</t>
  </si>
  <si>
    <t>1.5</t>
  </si>
  <si>
    <t>1.6</t>
  </si>
  <si>
    <t>1.7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</si>
</sst>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1" xfId="0" applyBorder="1"/>
    <xf numFmtId="16" fontId="0" fillId="0" borderId="2" xfId="0" applyNumberFormat="1" applyBorder="1"/>
    <xf numFmtId="0" fontId="0" fillId="0" borderId="2" xfId="0" applyBorder="1"/>
    <xf numFmtId="14" fontId="0" fillId="0" borderId="2" xfId="0" applyNumberFormat="1" applyBorder="1"/>
    <xf numFmtId="0" fontId="0" fillId="2" borderId="3" xfId="0" applyFill="1" applyBorder="1"/>
    <xf numFmtId="0" fontId="0" fillId="0" borderId="4" xfId="0" applyBorder="1"/>
    <xf numFmtId="0" fontId="1" fillId="0" borderId="0" xfId="0" applyFont="1"/>
    <xf numFmtId="0" fontId="1" fillId="3" borderId="0" xfId="0" applyFont="1" applyFill="1"/>
    <xf numFmtId="0" fontId="0" fillId="0" borderId="5" xfId="0" applyBorder="1"/>
    <xf numFmtId="164" fontId="0" fillId="0" borderId="0" xfId="0" applyNumberFormat="1"/>
    <xf numFmtId="14" fontId="0" fillId="0" borderId="0" xfId="0" applyNumberFormat="1"/>
    <xf numFmtId="0" fontId="0" fillId="3" borderId="0" xfId="0" applyFill="1"/>
    <xf numFmtId="0" fontId="0" fillId="0" borderId="6" xfId="0" applyBorder="1"/>
    <xf numFmtId="0" fontId="0" fillId="0" borderId="7" xfId="0" applyBorder="1"/>
    <xf numFmtId="14" fontId="0" fillId="0" borderId="7" xfId="0" applyNumberFormat="1" applyBorder="1"/>
    <xf numFmtId="0" fontId="0" fillId="0" borderId="8" xfId="0" applyBorder="1"/>
    <xf numFmtId="0" fontId="0" fillId="2" borderId="2" xfId="0" applyFill="1" applyBorder="1"/>
    <xf numFmtId="0" fontId="1" fillId="4" borderId="0" xfId="0" applyFont="1" applyFill="1"/>
    <xf numFmtId="0" fontId="0" fillId="4" borderId="0" xfId="0" applyFill="1"/>
    <xf numFmtId="0" fontId="0" fillId="0" borderId="2" xfId="0" quotePrefix="1" applyBorder="1"/>
    <xf numFmtId="4" fontId="1" fillId="0" borderId="0" xfId="0" applyNumberFormat="1" applyFont="1" applyAlignment="1">
      <alignment vertical="center" wrapText="1"/>
    </xf>
    <xf numFmtId="0" fontId="1" fillId="5" borderId="0" xfId="0" applyFont="1" applyFill="1"/>
    <xf numFmtId="0" fontId="0" fillId="0" borderId="0" xfId="0" quotePrefix="1"/>
    <xf numFmtId="0" fontId="0" fillId="5" borderId="0" xfId="0" applyFill="1"/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0" xfId="0" applyFont="1"/>
    <xf numFmtId="0" fontId="0" fillId="2" borderId="0" xfId="0" applyFill="1" applyAlignment="1">
      <alignment horizontal="center"/>
    </xf>
    <xf numFmtId="16" fontId="0" fillId="0" borderId="0" xfId="0" quotePrefix="1" applyNumberFormat="1" applyAlignment="1">
      <alignment horizontal="right"/>
    </xf>
    <xf numFmtId="0" fontId="0" fillId="0" borderId="0" xfId="0" quotePrefix="1" applyAlignment="1">
      <alignment horizontal="right"/>
    </xf>
    <xf numFmtId="0" fontId="0" fillId="0" borderId="0" xfId="0" applyAlignment="1">
      <alignment horizontal="right"/>
    </xf>
    <xf numFmtId="164" fontId="1" fillId="0" borderId="0" xfId="0" applyNumberFormat="1" applyFont="1" applyAlignment="1">
      <alignment horizontal="right"/>
    </xf>
    <xf numFmtId="0" fontId="1" fillId="0" borderId="0" xfId="0" applyFont="1" applyAlignment="1">
      <alignment horizontal="right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EE7417-B431-4A8D-811D-4CD89380F735}">
  <dimension ref="A1:Q52"/>
  <sheetViews>
    <sheetView tabSelected="1" workbookViewId="0">
      <selection activeCell="D7" sqref="D7"/>
    </sheetView>
  </sheetViews>
  <sheetFormatPr baseColWidth="10" defaultRowHeight="14.4" outlineLevelRow="1" x14ac:dyDescent="0.3"/>
  <cols>
    <col min="4" max="4" width="11.88671875" customWidth="1"/>
  </cols>
  <sheetData>
    <row r="1" spans="1:15" ht="15" thickBot="1" x14ac:dyDescent="0.35">
      <c r="A1" t="s">
        <v>0</v>
      </c>
    </row>
    <row r="2" spans="1:15" x14ac:dyDescent="0.3">
      <c r="A2" s="1">
        <v>30</v>
      </c>
      <c r="B2" s="2"/>
      <c r="C2" s="3" t="s">
        <v>1</v>
      </c>
      <c r="D2" s="3" t="s">
        <v>2</v>
      </c>
      <c r="E2" s="4" t="str">
        <f>D10</f>
        <v>1700-01-16</v>
      </c>
      <c r="F2" s="3" t="str">
        <f>E10</f>
        <v>1800-01-02</v>
      </c>
      <c r="G2" s="4">
        <f>F10</f>
        <v>18</v>
      </c>
      <c r="H2" s="4">
        <f t="shared" ref="H2:L2" si="0">G10</f>
        <v>36529</v>
      </c>
      <c r="I2" s="4">
        <f t="shared" si="0"/>
        <v>73069</v>
      </c>
      <c r="J2" s="4">
        <f t="shared" si="0"/>
        <v>109579</v>
      </c>
      <c r="K2" s="4">
        <f t="shared" si="0"/>
        <v>146119</v>
      </c>
      <c r="L2" s="4">
        <f t="shared" si="0"/>
        <v>182629</v>
      </c>
      <c r="M2" s="4"/>
      <c r="N2" s="3"/>
      <c r="O2" s="5" t="s">
        <v>3</v>
      </c>
    </row>
    <row r="3" spans="1:15" x14ac:dyDescent="0.3">
      <c r="A3" s="6"/>
      <c r="C3" s="7" t="s">
        <v>4</v>
      </c>
      <c r="D3" s="7">
        <v>2305447.5</v>
      </c>
      <c r="E3" s="8">
        <f>D9</f>
        <v>2341987.5</v>
      </c>
      <c r="F3" s="7">
        <f>E9</f>
        <v>2378497.5</v>
      </c>
      <c r="G3" s="7">
        <f>F9</f>
        <v>2415037.5</v>
      </c>
      <c r="H3" s="7">
        <f t="shared" ref="H3:L3" si="1">G9</f>
        <v>2451547.5</v>
      </c>
      <c r="I3" s="7">
        <f t="shared" si="1"/>
        <v>2488087.5</v>
      </c>
      <c r="J3" s="7">
        <f t="shared" si="1"/>
        <v>2524597.5</v>
      </c>
      <c r="K3" s="7">
        <f t="shared" si="1"/>
        <v>2561137.5</v>
      </c>
      <c r="L3" s="7">
        <f t="shared" si="1"/>
        <v>2597647.5</v>
      </c>
      <c r="O3" s="9"/>
    </row>
    <row r="4" spans="1:15" x14ac:dyDescent="0.3">
      <c r="A4" s="6"/>
      <c r="C4" t="s">
        <v>5</v>
      </c>
      <c r="E4">
        <f>E3-D3</f>
        <v>36540</v>
      </c>
      <c r="F4">
        <f>F3-E3</f>
        <v>36510</v>
      </c>
      <c r="G4">
        <f t="shared" ref="G4:J4" si="2">G3-F3</f>
        <v>36540</v>
      </c>
      <c r="H4">
        <f t="shared" si="2"/>
        <v>36510</v>
      </c>
      <c r="I4">
        <f t="shared" si="2"/>
        <v>36540</v>
      </c>
      <c r="J4">
        <f t="shared" si="2"/>
        <v>36510</v>
      </c>
      <c r="O4" s="9"/>
    </row>
    <row r="5" spans="1:15" x14ac:dyDescent="0.3">
      <c r="A5" s="6"/>
      <c r="C5" t="s">
        <v>6</v>
      </c>
      <c r="D5" s="10">
        <v>1217</v>
      </c>
      <c r="E5" s="10">
        <v>1216</v>
      </c>
      <c r="F5" s="10">
        <v>1217</v>
      </c>
      <c r="G5" s="10">
        <v>1216</v>
      </c>
      <c r="H5" s="10">
        <v>1217</v>
      </c>
      <c r="I5" s="10">
        <v>1216</v>
      </c>
      <c r="J5" s="10">
        <v>1217</v>
      </c>
      <c r="K5" s="10">
        <v>1216</v>
      </c>
      <c r="L5" s="10">
        <v>1217</v>
      </c>
      <c r="O5" s="9"/>
    </row>
    <row r="6" spans="1:15" x14ac:dyDescent="0.3">
      <c r="A6" s="6"/>
      <c r="O6" s="9"/>
    </row>
    <row r="7" spans="1:15" x14ac:dyDescent="0.3">
      <c r="A7" s="6"/>
      <c r="C7" s="7" t="s">
        <v>7</v>
      </c>
      <c r="D7" s="7">
        <f>D3+(D5)*$A$2</f>
        <v>2341957.5</v>
      </c>
      <c r="E7" s="7">
        <f t="shared" ref="E7:L7" si="3">E3+(E5)*$A$2</f>
        <v>2378467.5</v>
      </c>
      <c r="F7" s="7">
        <f t="shared" si="3"/>
        <v>2415007.5</v>
      </c>
      <c r="G7" s="7">
        <f t="shared" si="3"/>
        <v>2451517.5</v>
      </c>
      <c r="H7" s="7">
        <f t="shared" si="3"/>
        <v>2488057.5</v>
      </c>
      <c r="I7" s="7">
        <f t="shared" si="3"/>
        <v>2524567.5</v>
      </c>
      <c r="J7" s="7">
        <f t="shared" si="3"/>
        <v>2561107.5</v>
      </c>
      <c r="K7" s="7">
        <f t="shared" si="3"/>
        <v>2597617.5</v>
      </c>
      <c r="L7" s="7">
        <f t="shared" si="3"/>
        <v>2634157.5</v>
      </c>
      <c r="O7" s="9"/>
    </row>
    <row r="8" spans="1:15" x14ac:dyDescent="0.3">
      <c r="A8" s="6"/>
      <c r="C8" t="s">
        <v>1</v>
      </c>
      <c r="D8" t="s">
        <v>8</v>
      </c>
      <c r="E8" t="s">
        <v>9</v>
      </c>
      <c r="F8" t="s">
        <v>10</v>
      </c>
      <c r="G8" s="11">
        <v>36499</v>
      </c>
      <c r="H8" s="11">
        <v>73039</v>
      </c>
      <c r="I8" s="11">
        <v>109549</v>
      </c>
      <c r="J8" s="11">
        <v>146089</v>
      </c>
      <c r="K8" s="11">
        <v>182599</v>
      </c>
      <c r="L8" s="11">
        <v>219139</v>
      </c>
      <c r="O8" s="9"/>
    </row>
    <row r="9" spans="1:15" x14ac:dyDescent="0.3">
      <c r="A9" s="6"/>
      <c r="C9" t="s">
        <v>11</v>
      </c>
      <c r="D9" s="12">
        <f>D7+$A$2</f>
        <v>2341987.5</v>
      </c>
      <c r="E9">
        <f>E7+$A$2</f>
        <v>2378497.5</v>
      </c>
      <c r="F9">
        <f>F7+$A$2</f>
        <v>2415037.5</v>
      </c>
      <c r="G9">
        <f>G7+$A$2</f>
        <v>2451547.5</v>
      </c>
      <c r="H9">
        <f>H7+$A$2</f>
        <v>2488087.5</v>
      </c>
      <c r="I9">
        <f>I7+$A$2</f>
        <v>2524597.5</v>
      </c>
      <c r="J9">
        <f>J7+$A$2</f>
        <v>2561137.5</v>
      </c>
      <c r="K9">
        <f>K7+$A$2</f>
        <v>2597647.5</v>
      </c>
      <c r="L9">
        <f>L7+$A$2</f>
        <v>2634187.5</v>
      </c>
      <c r="O9" s="9"/>
    </row>
    <row r="10" spans="1:15" ht="15" thickBot="1" x14ac:dyDescent="0.35">
      <c r="A10" s="13"/>
      <c r="B10" s="14"/>
      <c r="C10" s="14" t="s">
        <v>12</v>
      </c>
      <c r="D10" s="14" t="s">
        <v>13</v>
      </c>
      <c r="E10" s="14" t="s">
        <v>14</v>
      </c>
      <c r="F10" s="15">
        <v>18</v>
      </c>
      <c r="G10" s="15">
        <v>36529</v>
      </c>
      <c r="H10" s="15">
        <v>73069</v>
      </c>
      <c r="I10" s="15">
        <v>109579</v>
      </c>
      <c r="J10" s="15">
        <v>146119</v>
      </c>
      <c r="K10" s="15">
        <v>182629</v>
      </c>
      <c r="L10" s="15">
        <v>219169</v>
      </c>
      <c r="M10" s="14"/>
      <c r="N10" s="14"/>
      <c r="O10" s="16"/>
    </row>
    <row r="12" spans="1:15" ht="15" thickBot="1" x14ac:dyDescent="0.35"/>
    <row r="13" spans="1:15" outlineLevel="1" x14ac:dyDescent="0.3">
      <c r="A13" s="1">
        <v>211</v>
      </c>
      <c r="B13" s="3"/>
      <c r="C13" s="3" t="s">
        <v>1</v>
      </c>
      <c r="D13" s="3" t="s">
        <v>15</v>
      </c>
      <c r="E13" s="3" t="str">
        <f>D21</f>
        <v>1000-07-29</v>
      </c>
      <c r="F13" s="4">
        <f>E21</f>
        <v>36734</v>
      </c>
      <c r="G13" s="4">
        <f>F21</f>
        <v>401975</v>
      </c>
      <c r="H13" s="4"/>
      <c r="I13" s="3"/>
      <c r="J13" s="3"/>
      <c r="K13" s="3"/>
      <c r="L13" s="3"/>
      <c r="M13" s="3"/>
      <c r="N13" s="17" t="s">
        <v>16</v>
      </c>
      <c r="O13" s="5" t="s">
        <v>17</v>
      </c>
    </row>
    <row r="14" spans="1:15" outlineLevel="1" x14ac:dyDescent="0.3">
      <c r="A14" s="6"/>
      <c r="C14" s="7" t="s">
        <v>4</v>
      </c>
      <c r="D14" s="7">
        <v>1721059.5</v>
      </c>
      <c r="E14" s="18">
        <f>D20</f>
        <v>2086511.5</v>
      </c>
      <c r="F14" s="7">
        <f t="shared" ref="F14:H14" si="4">E20</f>
        <v>2451752.5</v>
      </c>
      <c r="G14" s="7">
        <f t="shared" si="4"/>
        <v>2816993.5</v>
      </c>
      <c r="O14" s="9"/>
    </row>
    <row r="15" spans="1:15" outlineLevel="1" x14ac:dyDescent="0.3">
      <c r="A15" s="6"/>
      <c r="E15">
        <f>E14-D14</f>
        <v>365452</v>
      </c>
      <c r="O15" s="9"/>
    </row>
    <row r="16" spans="1:15" outlineLevel="1" x14ac:dyDescent="0.3">
      <c r="A16" s="6"/>
      <c r="D16">
        <v>1731</v>
      </c>
      <c r="E16">
        <v>1730</v>
      </c>
      <c r="F16">
        <v>1730</v>
      </c>
      <c r="G16">
        <v>1730</v>
      </c>
      <c r="O16" s="9"/>
    </row>
    <row r="17" spans="1:15" outlineLevel="1" x14ac:dyDescent="0.3">
      <c r="A17" s="6"/>
      <c r="O17" s="9"/>
    </row>
    <row r="18" spans="1:15" outlineLevel="1" x14ac:dyDescent="0.3">
      <c r="A18" s="6"/>
      <c r="C18" s="7" t="s">
        <v>18</v>
      </c>
      <c r="D18" s="7">
        <f>D14+D16*$A$13</f>
        <v>2086300.5</v>
      </c>
      <c r="E18" s="7">
        <f t="shared" ref="E18:H18" si="5">E14+E16*$A$13</f>
        <v>2451541.5</v>
      </c>
      <c r="F18" s="7">
        <f t="shared" si="5"/>
        <v>2816782.5</v>
      </c>
      <c r="G18" s="7">
        <f t="shared" si="5"/>
        <v>3182023.5</v>
      </c>
      <c r="O18" s="9"/>
    </row>
    <row r="19" spans="1:15" outlineLevel="1" x14ac:dyDescent="0.3">
      <c r="A19" s="6"/>
      <c r="C19" t="s">
        <v>1</v>
      </c>
      <c r="D19" t="s">
        <v>19</v>
      </c>
      <c r="E19" s="11">
        <v>36523</v>
      </c>
      <c r="F19" s="11">
        <v>401764</v>
      </c>
      <c r="G19" s="11">
        <v>767005</v>
      </c>
      <c r="O19" s="9"/>
    </row>
    <row r="20" spans="1:15" outlineLevel="1" x14ac:dyDescent="0.3">
      <c r="A20" s="6"/>
      <c r="C20" t="s">
        <v>20</v>
      </c>
      <c r="D20" s="19">
        <f>D18+$A$13</f>
        <v>2086511.5</v>
      </c>
      <c r="E20">
        <f t="shared" ref="E20:H20" si="6">E18+$A$13</f>
        <v>2451752.5</v>
      </c>
      <c r="F20">
        <f t="shared" si="6"/>
        <v>2816993.5</v>
      </c>
      <c r="G20">
        <f t="shared" si="6"/>
        <v>3182234.5</v>
      </c>
      <c r="O20" s="9"/>
    </row>
    <row r="21" spans="1:15" ht="15" outlineLevel="1" thickBot="1" x14ac:dyDescent="0.35">
      <c r="A21" s="13"/>
      <c r="B21" s="14"/>
      <c r="C21" s="14" t="s">
        <v>21</v>
      </c>
      <c r="D21" s="14" t="s">
        <v>22</v>
      </c>
      <c r="E21" s="15">
        <v>36734</v>
      </c>
      <c r="F21" s="15">
        <v>401975</v>
      </c>
      <c r="G21" s="15">
        <v>767216</v>
      </c>
      <c r="H21" s="14"/>
      <c r="I21" s="14"/>
      <c r="J21" s="14"/>
      <c r="K21" s="14"/>
      <c r="L21" s="14"/>
      <c r="M21" s="14"/>
      <c r="N21" s="14"/>
      <c r="O21" s="16"/>
    </row>
    <row r="22" spans="1:15" outlineLevel="1" x14ac:dyDescent="0.3"/>
    <row r="23" spans="1:15" ht="15" outlineLevel="1" thickBot="1" x14ac:dyDescent="0.35"/>
    <row r="24" spans="1:15" outlineLevel="1" x14ac:dyDescent="0.3">
      <c r="A24" s="1">
        <v>809</v>
      </c>
      <c r="B24" s="3"/>
      <c r="C24" s="3" t="s">
        <v>1</v>
      </c>
      <c r="D24" s="20" t="s">
        <v>23</v>
      </c>
      <c r="E24" s="3" t="str">
        <f>D32</f>
        <v>0-03-25</v>
      </c>
      <c r="F24" s="4">
        <f>E32</f>
        <v>767179</v>
      </c>
      <c r="G24" s="3"/>
      <c r="H24" s="3"/>
      <c r="I24" s="3"/>
      <c r="J24" s="3"/>
      <c r="K24" s="3"/>
      <c r="L24" s="3"/>
      <c r="M24" s="3"/>
      <c r="N24" s="17" t="s">
        <v>24</v>
      </c>
      <c r="O24" s="5" t="s">
        <v>25</v>
      </c>
    </row>
    <row r="25" spans="1:15" outlineLevel="1" x14ac:dyDescent="0.3">
      <c r="A25" s="6"/>
      <c r="C25" s="7" t="s">
        <v>4</v>
      </c>
      <c r="D25" s="21">
        <v>260089.5</v>
      </c>
      <c r="E25" s="22">
        <f>D31</f>
        <v>1721143.5</v>
      </c>
      <c r="F25" s="7">
        <f>E31</f>
        <v>3182197.5</v>
      </c>
      <c r="O25" s="9"/>
    </row>
    <row r="26" spans="1:15" outlineLevel="1" x14ac:dyDescent="0.3">
      <c r="A26" s="6"/>
      <c r="E26">
        <f>E25-D25</f>
        <v>1461054</v>
      </c>
      <c r="O26" s="9"/>
    </row>
    <row r="27" spans="1:15" outlineLevel="1" x14ac:dyDescent="0.3">
      <c r="A27" s="6"/>
      <c r="D27">
        <v>1805</v>
      </c>
      <c r="E27">
        <v>1805</v>
      </c>
      <c r="F27">
        <v>1805</v>
      </c>
      <c r="O27" s="9"/>
    </row>
    <row r="28" spans="1:15" outlineLevel="1" x14ac:dyDescent="0.3">
      <c r="A28" s="6"/>
      <c r="O28" s="9"/>
    </row>
    <row r="29" spans="1:15" outlineLevel="1" x14ac:dyDescent="0.3">
      <c r="A29" s="6"/>
      <c r="C29" s="7" t="s">
        <v>18</v>
      </c>
      <c r="D29" s="7">
        <f>D25+D27*$A$24</f>
        <v>1720334.5</v>
      </c>
      <c r="E29" s="7">
        <f t="shared" ref="E29:F29" si="7">E25+E27*$A$24</f>
        <v>3181388.5</v>
      </c>
      <c r="F29" s="7">
        <f t="shared" si="7"/>
        <v>4642442.5</v>
      </c>
      <c r="O29" s="9"/>
    </row>
    <row r="30" spans="1:15" outlineLevel="1" x14ac:dyDescent="0.3">
      <c r="A30" s="6"/>
      <c r="C30" t="s">
        <v>1</v>
      </c>
      <c r="D30" s="23" t="s">
        <v>26</v>
      </c>
      <c r="E30" s="11">
        <v>766370</v>
      </c>
      <c r="F30" s="11">
        <v>2227424</v>
      </c>
      <c r="O30" s="9"/>
    </row>
    <row r="31" spans="1:15" outlineLevel="1" x14ac:dyDescent="0.3">
      <c r="A31" s="6"/>
      <c r="C31" t="s">
        <v>27</v>
      </c>
      <c r="D31" s="24">
        <f>D29+$A$24</f>
        <v>1721143.5</v>
      </c>
      <c r="E31">
        <f t="shared" ref="E31:F31" si="8">E29+$A$24</f>
        <v>3182197.5</v>
      </c>
      <c r="F31">
        <f t="shared" si="8"/>
        <v>4643251.5</v>
      </c>
      <c r="O31" s="9"/>
    </row>
    <row r="32" spans="1:15" ht="15" outlineLevel="1" thickBot="1" x14ac:dyDescent="0.35">
      <c r="A32" s="13"/>
      <c r="B32" s="14"/>
      <c r="C32" s="14" t="s">
        <v>28</v>
      </c>
      <c r="D32" s="14" t="s">
        <v>29</v>
      </c>
      <c r="E32" s="15">
        <v>767179</v>
      </c>
      <c r="F32" s="15">
        <v>2228233</v>
      </c>
      <c r="G32" s="14"/>
      <c r="H32" s="14"/>
      <c r="I32" s="14"/>
      <c r="J32" s="14"/>
      <c r="K32" s="14"/>
      <c r="L32" s="14"/>
      <c r="M32" s="14"/>
      <c r="N32" s="14"/>
      <c r="O32" s="16"/>
    </row>
    <row r="33" spans="1:17" ht="15" thickBot="1" x14ac:dyDescent="0.35"/>
    <row r="34" spans="1:17" ht="21.6" thickBot="1" x14ac:dyDescent="0.45">
      <c r="E34" s="25" t="s">
        <v>3</v>
      </c>
      <c r="F34" s="26"/>
      <c r="G34" s="26"/>
      <c r="H34" s="27"/>
      <c r="J34" s="25" t="s">
        <v>17</v>
      </c>
      <c r="K34" s="27"/>
      <c r="L34" s="28"/>
      <c r="M34" s="25" t="s">
        <v>25</v>
      </c>
      <c r="N34" s="27"/>
    </row>
    <row r="35" spans="1:17" x14ac:dyDescent="0.3">
      <c r="B35" t="s">
        <v>30</v>
      </c>
      <c r="E35">
        <f>E3+608*A2</f>
        <v>2360227.5</v>
      </c>
      <c r="G35">
        <v>2305457.5</v>
      </c>
      <c r="J35">
        <f>E14+1038*A13</f>
        <v>2305529.5</v>
      </c>
    </row>
    <row r="36" spans="1:17" x14ac:dyDescent="0.3">
      <c r="E36" t="s">
        <v>31</v>
      </c>
      <c r="J36" t="s">
        <v>32</v>
      </c>
    </row>
    <row r="37" spans="1:17" x14ac:dyDescent="0.3">
      <c r="E37" t="s">
        <v>33</v>
      </c>
      <c r="F37" t="s">
        <v>34</v>
      </c>
      <c r="G37" t="s">
        <v>33</v>
      </c>
      <c r="H37" t="s">
        <v>34</v>
      </c>
      <c r="J37" t="s">
        <v>33</v>
      </c>
      <c r="K37" t="s">
        <v>34</v>
      </c>
      <c r="M37" t="s">
        <v>33</v>
      </c>
      <c r="N37" t="s">
        <v>34</v>
      </c>
    </row>
    <row r="38" spans="1:17" x14ac:dyDescent="0.3">
      <c r="A38" t="s">
        <v>3</v>
      </c>
      <c r="B38" t="s">
        <v>35</v>
      </c>
      <c r="E38" s="29" t="s">
        <v>36</v>
      </c>
      <c r="F38" s="29"/>
      <c r="G38" s="29" t="s">
        <v>37</v>
      </c>
      <c r="H38" s="29"/>
      <c r="J38" s="29" t="s">
        <v>38</v>
      </c>
      <c r="K38" s="29"/>
      <c r="M38" s="29" t="s">
        <v>36</v>
      </c>
      <c r="N38" s="29"/>
      <c r="Q38" s="10"/>
    </row>
    <row r="39" spans="1:17" x14ac:dyDescent="0.3">
      <c r="D39" s="30" t="s">
        <v>39</v>
      </c>
      <c r="G39" s="7">
        <v>2305477.5</v>
      </c>
      <c r="H39">
        <f>D7</f>
        <v>2341957.5</v>
      </c>
      <c r="I39" s="31" t="s">
        <v>40</v>
      </c>
      <c r="Q39" s="10"/>
    </row>
    <row r="40" spans="1:17" x14ac:dyDescent="0.3">
      <c r="D40" s="32"/>
      <c r="G40" s="12" t="s">
        <v>41</v>
      </c>
      <c r="H40" t="str">
        <f>D8</f>
        <v>1699-12-17</v>
      </c>
      <c r="I40" s="32"/>
      <c r="M40" s="33"/>
    </row>
    <row r="41" spans="1:17" x14ac:dyDescent="0.3">
      <c r="D41" s="30" t="s">
        <v>42</v>
      </c>
      <c r="E41" s="7">
        <v>2360257.5</v>
      </c>
      <c r="F41" s="7">
        <f>E7</f>
        <v>2378467.5</v>
      </c>
      <c r="G41" s="7">
        <f>E3</f>
        <v>2341987.5</v>
      </c>
      <c r="H41" s="7">
        <f>F41</f>
        <v>2378467.5</v>
      </c>
      <c r="I41" s="31" t="s">
        <v>43</v>
      </c>
      <c r="J41" s="7">
        <f>J35</f>
        <v>2305529.5</v>
      </c>
      <c r="K41" s="7">
        <f>E18</f>
        <v>2451541.5</v>
      </c>
      <c r="M41" s="33" t="s">
        <v>44</v>
      </c>
      <c r="N41" s="34">
        <v>2542278.5</v>
      </c>
    </row>
    <row r="42" spans="1:17" x14ac:dyDescent="0.3">
      <c r="D42" s="32"/>
      <c r="E42" s="12" t="s">
        <v>45</v>
      </c>
      <c r="F42" t="str">
        <f>E8</f>
        <v>1799-12-03</v>
      </c>
      <c r="G42" s="11" t="str">
        <f>E2</f>
        <v>1700-01-16</v>
      </c>
      <c r="H42" s="11" t="str">
        <f>F42</f>
        <v>1799-12-03</v>
      </c>
      <c r="I42" s="32"/>
      <c r="J42" t="str">
        <f>J36</f>
        <v>1600-03-23</v>
      </c>
      <c r="K42" s="11">
        <f>E21</f>
        <v>36734</v>
      </c>
      <c r="M42" t="s">
        <v>46</v>
      </c>
      <c r="N42" s="11">
        <v>127260</v>
      </c>
    </row>
    <row r="43" spans="1:17" x14ac:dyDescent="0.3">
      <c r="D43" s="31" t="s">
        <v>47</v>
      </c>
      <c r="E43" s="7">
        <f>F3</f>
        <v>2378497.5</v>
      </c>
      <c r="F43" s="7">
        <f>F7</f>
        <v>2415007.5</v>
      </c>
      <c r="G43" s="7">
        <f>E43</f>
        <v>2378497.5</v>
      </c>
      <c r="H43" s="7">
        <f>F43</f>
        <v>2415007.5</v>
      </c>
      <c r="I43" s="31" t="s">
        <v>48</v>
      </c>
      <c r="J43" s="7">
        <f>F14</f>
        <v>2451752.5</v>
      </c>
      <c r="K43" s="7">
        <f>2670770.5-211</f>
        <v>2670559.5</v>
      </c>
    </row>
    <row r="44" spans="1:17" x14ac:dyDescent="0.3">
      <c r="D44" s="32"/>
      <c r="E44" t="str">
        <f>F2</f>
        <v>1800-01-02</v>
      </c>
      <c r="F44" t="str">
        <f>F8</f>
        <v>1899-12-19</v>
      </c>
      <c r="G44" s="11" t="str">
        <f>E44</f>
        <v>1800-01-02</v>
      </c>
      <c r="H44" s="11" t="str">
        <f>F44</f>
        <v>1899-12-19</v>
      </c>
      <c r="I44" s="32"/>
      <c r="J44" s="11">
        <f>F13</f>
        <v>36734</v>
      </c>
      <c r="K44" s="11">
        <v>255541</v>
      </c>
    </row>
    <row r="45" spans="1:17" x14ac:dyDescent="0.3">
      <c r="D45" s="30" t="s">
        <v>49</v>
      </c>
      <c r="E45" s="7">
        <f>G3</f>
        <v>2415037.5</v>
      </c>
      <c r="F45" s="7">
        <f>G7</f>
        <v>2451517.5</v>
      </c>
      <c r="G45" s="7">
        <f>E45</f>
        <v>2415037.5</v>
      </c>
      <c r="H45" s="7">
        <f>F45</f>
        <v>2451517.5</v>
      </c>
      <c r="I45" s="31" t="s">
        <v>50</v>
      </c>
    </row>
    <row r="46" spans="1:17" x14ac:dyDescent="0.3">
      <c r="D46" s="32"/>
      <c r="E46" s="11">
        <f>G2</f>
        <v>18</v>
      </c>
      <c r="F46" s="11">
        <f>G8</f>
        <v>36499</v>
      </c>
      <c r="G46" s="11">
        <f>E46</f>
        <v>18</v>
      </c>
      <c r="H46" s="11">
        <f>F46</f>
        <v>36499</v>
      </c>
    </row>
    <row r="47" spans="1:17" x14ac:dyDescent="0.3">
      <c r="D47" s="31" t="s">
        <v>51</v>
      </c>
      <c r="E47" s="7">
        <f>H3</f>
        <v>2451547.5</v>
      </c>
      <c r="F47" s="7">
        <f>H7</f>
        <v>2488057.5</v>
      </c>
      <c r="G47" s="7">
        <f>E47</f>
        <v>2451547.5</v>
      </c>
      <c r="H47" s="7">
        <f>F47</f>
        <v>2488057.5</v>
      </c>
    </row>
    <row r="48" spans="1:17" x14ac:dyDescent="0.3">
      <c r="D48" s="32"/>
      <c r="E48" s="11">
        <f>H2</f>
        <v>36529</v>
      </c>
      <c r="F48" s="11">
        <f>H8</f>
        <v>73039</v>
      </c>
      <c r="G48" s="11">
        <f>E48</f>
        <v>36529</v>
      </c>
      <c r="H48" s="11">
        <f>F48</f>
        <v>73039</v>
      </c>
    </row>
    <row r="49" spans="4:8" x14ac:dyDescent="0.3">
      <c r="D49" s="30" t="s">
        <v>52</v>
      </c>
      <c r="E49" s="7">
        <f>I3</f>
        <v>2488087.5</v>
      </c>
      <c r="F49" s="7">
        <f>I7</f>
        <v>2524567.5</v>
      </c>
      <c r="G49" s="7">
        <f>E49</f>
        <v>2488087.5</v>
      </c>
      <c r="H49" s="7">
        <f>F49</f>
        <v>2524567.5</v>
      </c>
    </row>
    <row r="50" spans="4:8" x14ac:dyDescent="0.3">
      <c r="D50" s="32"/>
      <c r="E50" s="11">
        <f>I2</f>
        <v>73069</v>
      </c>
      <c r="F50" s="11">
        <f>I8</f>
        <v>109549</v>
      </c>
      <c r="G50" s="11">
        <f>E50</f>
        <v>73069</v>
      </c>
      <c r="H50" s="11">
        <f>F50</f>
        <v>109549</v>
      </c>
    </row>
    <row r="51" spans="4:8" x14ac:dyDescent="0.3">
      <c r="D51" s="31" t="s">
        <v>53</v>
      </c>
      <c r="E51" s="7">
        <f>J3</f>
        <v>2524597.5</v>
      </c>
      <c r="F51" s="8">
        <f>E51+608*A2</f>
        <v>2542837.5</v>
      </c>
      <c r="G51" s="7">
        <f>J3</f>
        <v>2524597.5</v>
      </c>
      <c r="H51" s="8">
        <f>G51</f>
        <v>2524597.5</v>
      </c>
    </row>
    <row r="52" spans="4:8" x14ac:dyDescent="0.3">
      <c r="E52" s="11">
        <f>J2</f>
        <v>109579</v>
      </c>
      <c r="F52" s="11">
        <v>127819</v>
      </c>
      <c r="G52" s="11">
        <f>J2</f>
        <v>109579</v>
      </c>
      <c r="H52" s="11">
        <f>G52</f>
        <v>109579</v>
      </c>
    </row>
  </sheetData>
  <mergeCells count="7">
    <mergeCell ref="E34:H34"/>
    <mergeCell ref="J34:K34"/>
    <mergeCell ref="M34:N34"/>
    <mergeCell ref="E38:F38"/>
    <mergeCell ref="G38:H38"/>
    <mergeCell ref="J38:K38"/>
    <mergeCell ref="M38:N38"/>
  </mergeCells>
  <pageMargins left="0.7" right="0.7" top="0.78740157499999996" bottom="0.78740157499999996" header="0.3" footer="0.3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Marcus Hiemer</dc:creator>
  <cp:lastModifiedBy>Marcus Hiemer</cp:lastModifiedBy>
  <dcterms:created xsi:type="dcterms:W3CDTF">2026-04-23T10:21:57Z</dcterms:created>
  <dcterms:modified xsi:type="dcterms:W3CDTF">2026-04-23T16:04:36Z</dcterms:modified>
</cp:coreProperties>
</file>