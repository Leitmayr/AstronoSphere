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Sim.Ephemerides.Test\VSOP\Data\VSOP87A\"/>
    </mc:Choice>
  </mc:AlternateContent>
  <xr:revisionPtr revIDLastSave="0" documentId="13_ncr:9_{2DD9E873-0771-42BC-919E-2B5C60EAA5AC}" xr6:coauthVersionLast="47" xr6:coauthVersionMax="47" xr10:uidLastSave="{00000000-0000-0000-0000-000000000000}"/>
  <bookViews>
    <workbookView xWindow="28680" yWindow="-120" windowWidth="29040" windowHeight="15720" tabRatio="855" activeTab="1" xr2:uid="{FE92EAA0-8BD0-4319-AA31-1757953036C1}"/>
  </bookViews>
  <sheets>
    <sheet name="BlockA_GeoEkliptic" sheetId="1" r:id="rId1"/>
    <sheet name="BlockB_GeoEqu" sheetId="2" r:id="rId2"/>
    <sheet name="BlockD_Robustness" sheetId="8" r:id="rId3"/>
    <sheet name="VENUS_VSOP87A_Positions" sheetId="4" r:id="rId4"/>
    <sheet name="MARS_VSOP87A_Positions" sheetId="5" r:id="rId5"/>
    <sheet name="EARTH_VSOP87A_Positions" sheetId="6" r:id="rId6"/>
    <sheet name="JUPITER_VSOP87A_Positions" sheetId="7" r:id="rId7"/>
  </sheets>
  <definedNames>
    <definedName name="ExterneDaten_1" localSheetId="5" hidden="1">EARTH_VSOP87A_Positions!$A$1:$D$12</definedName>
    <definedName name="ExterneDaten_1" localSheetId="6" hidden="1">JUPITER_VSOP87A_Positions!$A$1:$D$12</definedName>
    <definedName name="ExterneDaten_1" localSheetId="4" hidden="1">MARS_VSOP87A_Positions!$A$1:$D$12</definedName>
    <definedName name="ExterneDaten_1" localSheetId="3" hidden="1">VENUS_VSOP87A_Positions!$A$1:$D$12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3145D-E127-4AB8-B163-9B9B3A7466EE}" keepAlive="1" name="Abfrage - EARTH_VSOP87A_Positions" description="Verbindung mit der Abfrage 'EARTH_VSOP87A_Positions' in der Arbeitsmappe." type="5" refreshedVersion="8" background="1" saveData="1">
    <dbPr connection="Provider=Microsoft.Mashup.OleDb.1;Data Source=$Workbook$;Location=EARTH_VSOP87A_Positions;Extended Properties=&quot;&quot;" command="SELECT * FROM [EARTH_VSOP87A_Positions]"/>
  </connection>
  <connection id="2" xr16:uid="{2F5533ED-96E1-425B-AB29-145485E4CFC6}" keepAlive="1" name="Abfrage - JUPITER_VSOP87A_Positions" description="Verbindung mit der Abfrage 'JUPITER_VSOP87A_Positions' in der Arbeitsmappe." type="5" refreshedVersion="8" background="1" saveData="1">
    <dbPr connection="Provider=Microsoft.Mashup.OleDb.1;Data Source=$Workbook$;Location=JUPITER_VSOP87A_Positions;Extended Properties=&quot;&quot;" command="SELECT * FROM [JUPITER_VSOP87A_Positions]"/>
  </connection>
  <connection id="3" xr16:uid="{FD4D208F-E39F-4268-A476-60B788B08B89}" keepAlive="1" name="Abfrage - MARS_VSOP87A_Positions" description="Verbindung mit der Abfrage 'MARS_VSOP87A_Positions' in der Arbeitsmappe." type="5" refreshedVersion="8" background="1" saveData="1">
    <dbPr connection="Provider=Microsoft.Mashup.OleDb.1;Data Source=$Workbook$;Location=MARS_VSOP87A_Positions;Extended Properties=&quot;&quot;" command="SELECT * FROM [MARS_VSOP87A_Positions]"/>
  </connection>
  <connection id="4" xr16:uid="{4A7187FA-E31C-4AF2-9A8C-CA24444852BA}" keepAlive="1" name="Abfrage - VENUS_VSOP87A_Positions" description="Verbindung mit der Abfrage 'VENUS_VSOP87A_Positions' in der Arbeitsmappe." type="5" refreshedVersion="8" background="1" saveData="1">
    <dbPr connection="Provider=Microsoft.Mashup.OleDb.1;Data Source=$Workbook$;Location=VENUS_VSOP87A_Positions;Extended Properties=&quot;&quot;" command="SELECT * FROM [VENUS_VSOP87A_Positions]"/>
  </connection>
</connections>
</file>

<file path=xl/sharedStrings.xml><?xml version="1.0" encoding="utf-8"?>
<sst xmlns="http://schemas.openxmlformats.org/spreadsheetml/2006/main" count="433" uniqueCount="197">
  <si>
    <t>JulianDate</t>
  </si>
  <si>
    <t>x</t>
  </si>
  <si>
    <t>y</t>
  </si>
  <si>
    <t>z</t>
  </si>
  <si>
    <t>Venus</t>
  </si>
  <si>
    <t>Earth</t>
  </si>
  <si>
    <t>Mars</t>
  </si>
  <si>
    <t>Jupiter</t>
  </si>
  <si>
    <t>Venus - Earth</t>
  </si>
  <si>
    <t>Mars - Earth</t>
  </si>
  <si>
    <t>Jupiter - Earth</t>
  </si>
  <si>
    <t>Target: Planet</t>
  </si>
  <si>
    <t>Observer: @399</t>
  </si>
  <si>
    <t>Time scale: TDB</t>
  </si>
  <si>
    <t>Vector table</t>
  </si>
  <si>
    <t>Vector correction: geometric states</t>
  </si>
  <si>
    <t>Reference plane:</t>
  </si>
  <si>
    <t>x-y axes of reference frame (equatorial-aligned, inertial)</t>
  </si>
  <si>
    <t>Frame: ICRF</t>
  </si>
  <si>
    <t>Units: AU-D</t>
  </si>
  <si>
    <t>B1 Mars</t>
  </si>
  <si>
    <t>JD</t>
  </si>
  <si>
    <t>Kommentar</t>
  </si>
  <si>
    <t>Basisfall</t>
  </si>
  <si>
    <t>historisch</t>
  </si>
  <si>
    <t>weiter zurück</t>
  </si>
  <si>
    <t>B2 Venus</t>
  </si>
  <si>
    <t>Horizons</t>
  </si>
  <si>
    <t>B3 Jupiter</t>
  </si>
  <si>
    <t>https://ssd.jpl.nasa.gov/horizons/app.html#/</t>
  </si>
  <si>
    <t>X = 6.167401595495362E-01 Y =-2.113253066189190E+00 Z =-9.589107242171878E-01</t>
  </si>
  <si>
    <t>Position</t>
  </si>
  <si>
    <t>Velocity</t>
  </si>
  <si>
    <t>X = 1.567851021019061E+00 Y =-8.860273046975010E-01 Z =-4.217030662836571E-01</t>
  </si>
  <si>
    <t>X =-9.125308437184837E-01 Y =-1.890995250777256E+00 Z =-8.149526531513910E-01</t>
  </si>
  <si>
    <t>X = 1.813467989135781E-01 Y = 3.833107165698300E+00 Z = 1.639537317296447E+00</t>
  </si>
  <si>
    <t>30.12.1799</t>
  </si>
  <si>
    <t>31.12.1899</t>
  </si>
  <si>
    <t>X = 4.178312534862136E+00 Y = 1.849149906689260E+00 Z = 6.907692464036385E-01</t>
  </si>
  <si>
    <t>VX= 1.263929848730213E-02 VY= 8.779673895423791E-03 VZ= 3.888719056515031E-03</t>
  </si>
  <si>
    <t>VX= 9.493529105066855E-03 VY= 3.492426955571625E-03 VZ= 1.702587039675968E-03</t>
  </si>
  <si>
    <t>X =-5.411671970726792E-01 Y =-9.337027690276324E-01 Z =-3.601022606327784E-01</t>
  </si>
  <si>
    <t>VX= 1.800574258450427E-02 VY=-1.559366976349000E-02 VZ=-7.113340285837341E-03</t>
  </si>
  <si>
    <t>X = 8.854501841196145E-01 Y =-1.054818002026842E+00 Z =-5.044429066348386E-01</t>
  </si>
  <si>
    <t>VX= 2.273217047856462E-02 VY= 2.083741541043473E-02 VZ= 8.968011740093203E-03</t>
  </si>
  <si>
    <t>VX= 1.787912457079633E-02 VY= 1.671220523250393E-02 VZ= 7.574295495458436E-03</t>
  </si>
  <si>
    <t>VX= 3.105523681917187E-02 VY= 8.138190955362702E-03 VZ= 3.278562818020382E-03</t>
  </si>
  <si>
    <t>VX= 2.750386533857544E-02 VY=-4.615679297360698E-03 VZ=-2.480843235135589E-03</t>
  </si>
  <si>
    <t>Delta:</t>
  </si>
  <si>
    <t>Column1</t>
  </si>
  <si>
    <t>Column2</t>
  </si>
  <si>
    <t>Column3</t>
  </si>
  <si>
    <t>Column4</t>
  </si>
  <si>
    <t>2.12282000000000000E+006</t>
  </si>
  <si>
    <t>-6.66015846500000008E-001</t>
  </si>
  <si>
    <t>-2.75359231099999990E-001</t>
  </si>
  <si>
    <t>3.57874175000000017E-002</t>
  </si>
  <si>
    <t>2.15934500000000000E+006</t>
  </si>
  <si>
    <t>5.64355061700000049E-001</t>
  </si>
  <si>
    <t>4.51939444199999985E-001</t>
  </si>
  <si>
    <t>-2.77243708999999998E-002</t>
  </si>
  <si>
    <t>2.19587000000000000E+006</t>
  </si>
  <si>
    <t>-3.83005958500000021E-001</t>
  </si>
  <si>
    <t>-6.15087556999999951E-001</t>
  </si>
  <si>
    <t>1.50920020999999998E-002</t>
  </si>
  <si>
    <t>2.23239500000000000E+006</t>
  </si>
  <si>
    <t>1.93542181600000002E-001</t>
  </si>
  <si>
    <t>6.94056799599999996E-001</t>
  </si>
  <si>
    <t>-2.93027359999999994E-003</t>
  </si>
  <si>
    <t>2.26892000000000000E+006</t>
  </si>
  <si>
    <t>4.28334458000000015E-002</t>
  </si>
  <si>
    <t>-7.25984493000000009E-001</t>
  </si>
  <si>
    <t>-1.14025160999999993E-002</t>
  </si>
  <si>
    <t>2.30544500000000000E+006</t>
  </si>
  <si>
    <t>-2.50197424900000021E-001</t>
  </si>
  <si>
    <t>6.73285539899999952E-001</t>
  </si>
  <si>
    <t>2.29714783000000006E-002</t>
  </si>
  <si>
    <t>2.34197000000000000E+006</t>
  </si>
  <si>
    <t>4.53119326499999975E-001</t>
  </si>
  <si>
    <t>-5.69242096900000050E-001</t>
  </si>
  <si>
    <t>-3.35643216999999966E-002</t>
  </si>
  <si>
    <t>2.37849500000000000E+006</t>
  </si>
  <si>
    <t>-5.98353520800000038E-001</t>
  </si>
  <si>
    <t>3.95850215599999999E-001</t>
  </si>
  <si>
    <t>3.98238141000000004E-002</t>
  </si>
  <si>
    <t>2.41502000000000000E+006</t>
  </si>
  <si>
    <t>6.97142833100000026E-001</t>
  </si>
  <si>
    <t>-2.03363115099999991E-001</t>
  </si>
  <si>
    <t>-4.30201135999999998E-002</t>
  </si>
  <si>
    <t>2.45154500000000000E+006</t>
  </si>
  <si>
    <t>-7.18302279700000046E-001</t>
  </si>
  <si>
    <t>-3.26546017000000008E-002</t>
  </si>
  <si>
    <t>4.10142974999999979E-002</t>
  </si>
  <si>
    <t>-1.62784851570000000E+000</t>
  </si>
  <si>
    <t>3.06019481400000015E-001</t>
  </si>
  <si>
    <t>4.94215740000000028E-002</t>
  </si>
  <si>
    <t>-1.14409170960000006E+000</t>
  </si>
  <si>
    <t>-1.05955333160000009E+000</t>
  </si>
  <si>
    <t>8.21808840000000027E-003</t>
  </si>
  <si>
    <t>3.89007390900000027E-001</t>
  </si>
  <si>
    <t>-1.36604310229999992E+000</t>
  </si>
  <si>
    <t>-3.83808948999999969E-002</t>
  </si>
  <si>
    <t>1.39103945460000000E+000</t>
  </si>
  <si>
    <t>-5.43839267000000015E-002</t>
  </si>
  <si>
    <t>-3.71012757999999998E-002</t>
  </si>
  <si>
    <t>6.49525884999999970E-001</t>
  </si>
  <si>
    <t>1.36573022450000003E+000</t>
  </si>
  <si>
    <t>1.16922368000000002E-002</t>
  </si>
  <si>
    <t>-8.30766824100000023E-001</t>
  </si>
  <si>
    <t>1.40985950969999996E+000</t>
  </si>
  <si>
    <t>5.04536060999999994E-002</t>
  </si>
  <si>
    <t>-1.63874895240000007E+000</t>
  </si>
  <si>
    <t>2.50710524200000007E-001</t>
  </si>
  <si>
    <t>4.65605913000000024E-002</t>
  </si>
  <si>
    <t>-1.11192196210000005E+000</t>
  </si>
  <si>
    <t>-1.09632630139999998E+000</t>
  </si>
  <si>
    <t>4.92085069999999986E-003</t>
  </si>
  <si>
    <t>4.28433247399999995E-001</t>
  </si>
  <si>
    <t>-1.35523542500000005E+000</t>
  </si>
  <si>
    <t>-3.89650205000000027E-002</t>
  </si>
  <si>
    <t>1.39071592639999997E+000</t>
  </si>
  <si>
    <t>-1.34157042999999993E-002</t>
  </si>
  <si>
    <t>-3.44677966999999974E-002</t>
  </si>
  <si>
    <t>-2.76314678400000013E-001</t>
  </si>
  <si>
    <t>9.43398530700000015E-001</t>
  </si>
  <si>
    <t>1.91153869999999997E-003</t>
  </si>
  <si>
    <t>-2.65454715600000002E-001</t>
  </si>
  <si>
    <t>9.46523360200000052E-001</t>
  </si>
  <si>
    <t>1.70377370000000003E-003</t>
  </si>
  <si>
    <t>-2.54460337099999989E-001</t>
  </si>
  <si>
    <t>9.49590425699999963E-001</t>
  </si>
  <si>
    <t>1.49621030000000009E-003</t>
  </si>
  <si>
    <t>-2.43513434299999998E-001</t>
  </si>
  <si>
    <t>9.52437331099999951E-001</t>
  </si>
  <si>
    <t>1.28710200000000004E-003</t>
  </si>
  <si>
    <t>-2.32478015300000007E-001</t>
  </si>
  <si>
    <t>9.55197579300000044E-001</t>
  </si>
  <si>
    <t>1.06928779999999998E-003</t>
  </si>
  <si>
    <t>-2.21498292799999996E-001</t>
  </si>
  <si>
    <t>9.57848318100000040E-001</t>
  </si>
  <si>
    <t>8.56824999999999969E-004</t>
  </si>
  <si>
    <t>-2.10465465200000007E-001</t>
  </si>
  <si>
    <t>9.60357995399999997E-001</t>
  </si>
  <si>
    <t>6.47292900000000031E-004</t>
  </si>
  <si>
    <t>-1.99391800199999997E-001</t>
  </si>
  <si>
    <t>9.62797436799999962E-001</t>
  </si>
  <si>
    <t>4.30760199999999989E-004</t>
  </si>
  <si>
    <t>-1.88307964900000013E-001</t>
  </si>
  <si>
    <t>9.65068884400000049E-001</t>
  </si>
  <si>
    <t>2.15032499999999991E-004</t>
  </si>
  <si>
    <t>-1.77135458599999990E-001</t>
  </si>
  <si>
    <t>9.67241623699999997E-001</t>
  </si>
  <si>
    <t>-3.89999999999999993E-006</t>
  </si>
  <si>
    <t>4.20786189400000010E-001</t>
  </si>
  <si>
    <t>5.10195913100000009E+000</t>
  </si>
  <si>
    <t>-2.80087663000000014E-002</t>
  </si>
  <si>
    <t>-3.35548060949999982E+000</t>
  </si>
  <si>
    <t>-4.21667022240000033E+000</t>
  </si>
  <si>
    <t>9.19417674999999934E-002</t>
  </si>
  <si>
    <t>4.24232863399999971E+000</t>
  </si>
  <si>
    <t>2.58984335789999998E+000</t>
  </si>
  <si>
    <t>-1.06030735700000003E-001</t>
  </si>
  <si>
    <t>-5.42393960049999979E+000</t>
  </si>
  <si>
    <t>-5.08548729100000041E-001</t>
  </si>
  <si>
    <t>1.24776037800000003E-001</t>
  </si>
  <si>
    <t>4.58914717269999972E+000</t>
  </si>
  <si>
    <t>-1.98708379310000005E+000</t>
  </si>
  <si>
    <t>-9.61092251000000009E-002</t>
  </si>
  <si>
    <t>-4.05479597750000043E+000</t>
  </si>
  <si>
    <t>3.47998570720000000E+000</t>
  </si>
  <si>
    <t>7.79960098999999962E-002</t>
  </si>
  <si>
    <t>1.28173183530000001E+000</t>
  </si>
  <si>
    <t>-5.02800798739999966E+000</t>
  </si>
  <si>
    <t>-9.12515900000000074E-003</t>
  </si>
  <si>
    <t>-1.80390004000000014E-002</t>
  </si>
  <si>
    <t>5.13177488390000036E+000</t>
  </si>
  <si>
    <t>-2.00448490000000000E-002</t>
  </si>
  <si>
    <t>-3.01912243499999988E+000</t>
  </si>
  <si>
    <t>-4.45825637050000001E+000</t>
  </si>
  <si>
    <t>8.58641900000000069E-002</t>
  </si>
  <si>
    <t>4.00117402680000023E+000</t>
  </si>
  <si>
    <t>2.93858100769999986E+000</t>
  </si>
  <si>
    <t>-1.01783750100000001E-001</t>
  </si>
  <si>
    <t>-0,666015846500000008</t>
  </si>
  <si>
    <t>D1 - Mars nahe Opposition</t>
  </si>
  <si>
    <t>D2 - Venus nahe untere Konjunktion</t>
  </si>
  <si>
    <t>D3 - Jupiter hohe Deklination</t>
  </si>
  <si>
    <t>X</t>
  </si>
  <si>
    <t>Y</t>
  </si>
  <si>
    <t>Z</t>
  </si>
  <si>
    <t>VX</t>
  </si>
  <si>
    <t>VY</t>
  </si>
  <si>
    <t>VZ</t>
  </si>
  <si>
    <t>Date</t>
  </si>
  <si>
    <t>X = 2.112158459983860E+00 Y = 3.546508640262783E-01 Z = 1.392521558272545E-01
 VX= 1.647159708921659E-04 VY= 2.619569981846583E-02 VZ= 1.184187419826480E-02</t>
  </si>
  <si>
    <t xml:space="preserve"> X = 2.798528847033740E-01 Y = 4.994169800296644E-02 Z = 6.755768991296246E-02
 VX=-1.700569105899002E-03 VY=-2.664238977021497E-03 VZ=-1.350017391701698E-03</t>
  </si>
  <si>
    <t xml:space="preserve"> X =-4.957995233752999E+00 Y = 8.643964631140925E-01 Z = 4.885604141152589E-01
 VX= 1.459795410489891E-02 VY=-4.932700423445111E-03 VZ=-2.039059363957638E-03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</si>
</sst>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00"/>
    <numFmt numFmtId="170" formatCode="0.000000000000"/>
    <numFmt numFmtId="171" formatCode="0.000000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  <font>
      <sz val="8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9">
    <xf numFmtId="0" fontId="0" fillId="0" borderId="0" xfId="0"/>
    <xf numFmtId="11" fontId="0" fillId="0" borderId="0" xfId="0" applyNumberFormat="1"/>
    <xf numFmtId="11" fontId="0" fillId="33" borderId="0" xfId="0" applyNumberFormat="1" applyFill="1"/>
    <xf numFmtId="0" fontId="0" fillId="33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42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NumberFormat="1"/>
    <xf numFmtId="0" fontId="0" fillId="0" borderId="10" xfId="0" applyNumberFormat="1" applyFont="1" applyBorder="1"/>
    <xf numFmtId="0" fontId="0" fillId="0" borderId="11" xfId="0" applyNumberFormat="1" applyFont="1" applyBorder="1"/>
    <xf numFmtId="0" fontId="0" fillId="0" borderId="12" xfId="0" applyNumberFormat="1" applyFont="1" applyBorder="1"/>
    <xf numFmtId="0" fontId="0" fillId="34" borderId="10" xfId="0" applyNumberFormat="1" applyFont="1" applyFill="1" applyBorder="1"/>
    <xf numFmtId="0" fontId="0" fillId="34" borderId="11" xfId="0" applyNumberFormat="1" applyFont="1" applyFill="1" applyBorder="1"/>
    <xf numFmtId="0" fontId="0" fillId="34" borderId="12" xfId="0" applyNumberFormat="1" applyFont="1" applyFill="1" applyBorder="1"/>
    <xf numFmtId="0" fontId="0" fillId="34" borderId="0" xfId="0" applyNumberFormat="1" applyFont="1" applyFill="1" applyBorder="1"/>
    <xf numFmtId="0" fontId="0" fillId="35" borderId="10" xfId="0" applyNumberFormat="1" applyFont="1" applyFill="1" applyBorder="1"/>
    <xf numFmtId="0" fontId="0" fillId="33" borderId="10" xfId="0" applyNumberFormat="1" applyFont="1" applyFill="1" applyBorder="1"/>
    <xf numFmtId="2" fontId="0" fillId="0" borderId="11" xfId="0" applyNumberFormat="1" applyFont="1" applyBorder="1"/>
    <xf numFmtId="2" fontId="0" fillId="0" borderId="12" xfId="0" applyNumberFormat="1" applyFont="1" applyBorder="1"/>
    <xf numFmtId="2" fontId="0" fillId="34" borderId="11" xfId="0" applyNumberFormat="1" applyFont="1" applyFill="1" applyBorder="1"/>
    <xf numFmtId="2" fontId="0" fillId="34" borderId="12" xfId="0" applyNumberFormat="1" applyFont="1" applyFill="1" applyBorder="1"/>
    <xf numFmtId="2" fontId="0" fillId="35" borderId="11" xfId="0" applyNumberFormat="1" applyFont="1" applyFill="1" applyBorder="1"/>
    <xf numFmtId="2" fontId="0" fillId="35" borderId="12" xfId="0" applyNumberFormat="1" applyFont="1" applyFill="1" applyBorder="1"/>
    <xf numFmtId="2" fontId="0" fillId="33" borderId="11" xfId="0" applyNumberFormat="1" applyFont="1" applyFill="1" applyBorder="1"/>
    <xf numFmtId="2" fontId="0" fillId="33" borderId="12" xfId="0" applyNumberFormat="1" applyFont="1" applyFill="1" applyBorder="1"/>
    <xf numFmtId="168" fontId="0" fillId="0" borderId="11" xfId="0" applyNumberFormat="1" applyFont="1" applyBorder="1"/>
    <xf numFmtId="168" fontId="0" fillId="0" borderId="12" xfId="0" applyNumberFormat="1" applyFont="1" applyBorder="1"/>
    <xf numFmtId="168" fontId="0" fillId="34" borderId="11" xfId="0" applyNumberFormat="1" applyFont="1" applyFill="1" applyBorder="1"/>
    <xf numFmtId="168" fontId="0" fillId="34" borderId="12" xfId="0" applyNumberFormat="1" applyFont="1" applyFill="1" applyBorder="1"/>
    <xf numFmtId="168" fontId="20" fillId="0" borderId="0" xfId="0" applyNumberFormat="1" applyFont="1" applyAlignment="1">
      <alignment vertical="center"/>
    </xf>
    <xf numFmtId="168" fontId="0" fillId="0" borderId="0" xfId="0" applyNumberFormat="1"/>
    <xf numFmtId="170" fontId="0" fillId="0" borderId="0" xfId="0" applyNumberFormat="1"/>
    <xf numFmtId="171" fontId="0" fillId="34" borderId="11" xfId="0" applyNumberFormat="1" applyFont="1" applyFill="1" applyBorder="1"/>
    <xf numFmtId="22" fontId="0" fillId="0" borderId="0" xfId="0" applyNumberFormat="1"/>
    <xf numFmtId="11" fontId="0" fillId="34" borderId="10" xfId="0" applyNumberFormat="1" applyFont="1" applyFill="1" applyBorder="1"/>
    <xf numFmtId="170" fontId="0" fillId="0" borderId="0" xfId="0" applyNumberFormat="1" applyFill="1"/>
    <xf numFmtId="170" fontId="0" fillId="36" borderId="0" xfId="0" applyNumberFormat="1" applyFill="1"/>
    <xf numFmtId="0" fontId="18" fillId="36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0" fillId="36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03D1D086-E125-4806-BE40-16113597C40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1D908A51-592D-4224-B1F5-6E0CE42CF2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E624FBF-44A2-4ACA-8FBA-A7438172675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A19DDC8C-41DF-434F-A916-39A5E4AB046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A5298-2294-4A46-A07F-EC15E67FA599}" name="VENUS_VSOP87A_Positions" displayName="VENUS_VSOP87A_Positions" ref="A1:D12" tableType="queryTable" totalsRowShown="0">
  <autoFilter ref="A1:D12" xr:uid="{DFDA5298-2294-4A46-A07F-EC15E67FA599}"/>
  <tableColumns count="4">
    <tableColumn id="1" xr3:uid="{2234B4AF-0D19-4CED-B3A5-E3924DF2E1A4}" uniqueName="1" name="Column1" queryTableFieldId="1" dataDxfId="15"/>
    <tableColumn id="2" xr3:uid="{BE623FE2-4A17-45EE-A133-EEAAB6BEF3BF}" uniqueName="2" name="Column2" queryTableFieldId="2" dataDxfId="14"/>
    <tableColumn id="3" xr3:uid="{E7E9D1E7-3BF3-4AA2-8E67-ECEA8D7E040D}" uniqueName="3" name="Column3" queryTableFieldId="3" dataDxfId="13"/>
    <tableColumn id="4" xr3:uid="{B0806EA4-C94B-4ECA-8A4E-5C62FE1C9661}" uniqueName="4" name="Column4" queryTableFieldId="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095ED-0969-46A1-9A4B-F8CBD2CF30E2}" name="MARS_VSOP87A_Positions" displayName="MARS_VSOP87A_Positions" ref="A1:D12" tableType="queryTable" totalsRowShown="0">
  <autoFilter ref="A1:D12" xr:uid="{F1F095ED-0969-46A1-9A4B-F8CBD2CF30E2}"/>
  <tableColumns count="4">
    <tableColumn id="1" xr3:uid="{7FBC03CB-BF4D-4D85-A845-3FFEF16DA3F6}" uniqueName="1" name="Column1" queryTableFieldId="1" dataDxfId="11"/>
    <tableColumn id="2" xr3:uid="{DB3ECFF5-1545-4805-A95C-BBAEA9783656}" uniqueName="2" name="Column2" queryTableFieldId="2" dataDxfId="10"/>
    <tableColumn id="3" xr3:uid="{7DDD6F37-8E83-453A-9C97-6161AE507C0A}" uniqueName="3" name="Column3" queryTableFieldId="3" dataDxfId="9"/>
    <tableColumn id="4" xr3:uid="{CC90BB16-6B44-4101-B64B-B4A8D66C802C}" uniqueName="4" name="Column4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2E0EC5-6341-42BA-B606-FF1902C20FBA}" name="EARTH_VSOP87A_Positions" displayName="EARTH_VSOP87A_Positions" ref="A1:D12" tableType="queryTable" totalsRowShown="0">
  <autoFilter ref="A1:D12" xr:uid="{492E0EC5-6341-42BA-B606-FF1902C20FBA}"/>
  <tableColumns count="4">
    <tableColumn id="1" xr3:uid="{9A2AF25A-C5C9-40BD-9FE6-8C927943BAC2}" uniqueName="1" name="Column1" queryTableFieldId="1" dataDxfId="7"/>
    <tableColumn id="2" xr3:uid="{B014CE33-E6C4-42F5-9E02-31FDE9204C2B}" uniqueName="2" name="Column2" queryTableFieldId="2" dataDxfId="6"/>
    <tableColumn id="3" xr3:uid="{ECDDFC0B-ACAF-4AB6-A7BB-93A5F18E9C1F}" uniqueName="3" name="Column3" queryTableFieldId="3" dataDxfId="5"/>
    <tableColumn id="4" xr3:uid="{7529734F-D8C5-4C79-8099-4DC7BD4DCBCA}" uniqueName="4" name="Column4" queryTableFieldId="4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99953A-7055-4CBE-ABC0-D7DEF2FC8860}" name="JUPITER_VSOP87A_Positions" displayName="JUPITER_VSOP87A_Positions" ref="A1:D12" tableType="queryTable" totalsRowShown="0">
  <autoFilter ref="A1:D12" xr:uid="{4099953A-7055-4CBE-ABC0-D7DEF2FC8860}"/>
  <tableColumns count="4">
    <tableColumn id="1" xr3:uid="{7A2093B4-731A-47DE-9816-BE6ECA949B74}" uniqueName="1" name="Column1" queryTableFieldId="1" dataDxfId="3"/>
    <tableColumn id="2" xr3:uid="{B6F18AD2-6A3E-4024-8256-5993109671B4}" uniqueName="2" name="Column2" queryTableFieldId="2" dataDxfId="2"/>
    <tableColumn id="3" xr3:uid="{47578A9A-FAC5-4027-97BF-C6BDF95C977D}" uniqueName="3" name="Column3" queryTableFieldId="3" dataDxfId="1"/>
    <tableColumn id="4" xr3:uid="{A3991D2F-86DC-48D9-9B2F-561169EE0756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sd.jpl.nasa.gov/horizons/app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2ED4-6DA6-4F4B-BE04-43E3ABE31AD4}">
  <dimension ref="A1:S55"/>
  <sheetViews>
    <sheetView topLeftCell="A19" zoomScale="85" zoomScaleNormal="85" workbookViewId="0">
      <selection activeCell="H56" sqref="H56"/>
    </sheetView>
  </sheetViews>
  <sheetFormatPr baseColWidth="10" defaultRowHeight="14.4"/>
  <cols>
    <col min="1" max="1" width="33.44140625" bestFit="1" customWidth="1"/>
    <col min="2" max="3" width="30.6640625" bestFit="1" customWidth="1"/>
    <col min="4" max="4" width="30.5546875" bestFit="1" customWidth="1"/>
    <col min="6" max="6" width="29.6640625" bestFit="1" customWidth="1"/>
    <col min="7" max="7" width="30.109375" customWidth="1"/>
    <col min="8" max="8" width="30.109375" bestFit="1" customWidth="1"/>
    <col min="9" max="9" width="30.5546875" bestFit="1" customWidth="1"/>
    <col min="10" max="10" width="24.109375" bestFit="1" customWidth="1"/>
    <col min="11" max="11" width="12.21875" bestFit="1" customWidth="1"/>
    <col min="12" max="14" width="10.77734375" bestFit="1" customWidth="1"/>
    <col min="16" max="16" width="14" bestFit="1" customWidth="1"/>
    <col min="17" max="19" width="10.77734375" bestFit="1" customWidth="1"/>
  </cols>
  <sheetData>
    <row r="1" spans="1:19">
      <c r="A1" t="s">
        <v>48</v>
      </c>
      <c r="B1" s="1">
        <v>1E-10</v>
      </c>
    </row>
    <row r="3" spans="1:19" s="4" customFormat="1">
      <c r="A3" t="s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s="4" customFormat="1">
      <c r="A4" s="20" t="s">
        <v>0</v>
      </c>
      <c r="B4" s="21" t="s">
        <v>1</v>
      </c>
      <c r="C4" s="21" t="s">
        <v>2</v>
      </c>
      <c r="D4" s="22" t="s">
        <v>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s="4" customFormat="1">
      <c r="A5" s="17" t="s">
        <v>53</v>
      </c>
      <c r="B5" s="26" t="s">
        <v>123</v>
      </c>
      <c r="C5" s="26" t="s">
        <v>124</v>
      </c>
      <c r="D5" s="27" t="s">
        <v>125</v>
      </c>
      <c r="E5"/>
      <c r="F5" s="1"/>
      <c r="G5" s="1"/>
      <c r="H5" s="1"/>
      <c r="I5" s="1"/>
      <c r="J5"/>
      <c r="K5" s="1"/>
      <c r="L5" s="1"/>
      <c r="M5" s="1"/>
      <c r="N5" s="1"/>
      <c r="O5"/>
      <c r="P5" s="1"/>
      <c r="Q5" s="1"/>
      <c r="R5" s="1"/>
      <c r="S5" s="1">
        <f t="shared" ref="Q5:S14" si="0">S19-D5</f>
        <v>-2800876630000000</v>
      </c>
    </row>
    <row r="6" spans="1:19" s="4" customFormat="1">
      <c r="A6" s="20" t="s">
        <v>57</v>
      </c>
      <c r="B6" s="28" t="s">
        <v>126</v>
      </c>
      <c r="C6" s="28" t="s">
        <v>127</v>
      </c>
      <c r="D6" s="29" t="s">
        <v>128</v>
      </c>
      <c r="E6"/>
      <c r="F6" s="1"/>
      <c r="G6" s="1"/>
      <c r="H6" s="1"/>
      <c r="I6" s="1"/>
      <c r="J6"/>
      <c r="K6" s="1"/>
      <c r="L6" s="1"/>
      <c r="M6" s="1"/>
      <c r="N6" s="1"/>
      <c r="O6"/>
      <c r="P6" s="1"/>
      <c r="Q6" s="1"/>
      <c r="R6" s="1"/>
      <c r="S6" s="1">
        <f t="shared" si="0"/>
        <v>9194176749999990</v>
      </c>
    </row>
    <row r="7" spans="1:19" s="4" customFormat="1">
      <c r="A7" s="17" t="s">
        <v>61</v>
      </c>
      <c r="B7" s="26" t="s">
        <v>129</v>
      </c>
      <c r="C7" s="26" t="s">
        <v>130</v>
      </c>
      <c r="D7" s="27" t="s">
        <v>131</v>
      </c>
      <c r="E7"/>
      <c r="F7" s="1"/>
      <c r="G7" s="1"/>
      <c r="H7" s="1"/>
      <c r="I7" s="1"/>
      <c r="J7"/>
      <c r="K7" s="1"/>
      <c r="L7" s="1"/>
      <c r="M7" s="1"/>
      <c r="N7" s="1"/>
      <c r="O7"/>
      <c r="P7" s="1"/>
      <c r="Q7" s="1"/>
      <c r="R7" s="1"/>
      <c r="S7" s="1">
        <f t="shared" si="0"/>
        <v>-1.060307357E+16</v>
      </c>
    </row>
    <row r="8" spans="1:19" s="4" customFormat="1">
      <c r="A8" s="20" t="s">
        <v>65</v>
      </c>
      <c r="B8" s="28" t="s">
        <v>132</v>
      </c>
      <c r="C8" s="28" t="s">
        <v>133</v>
      </c>
      <c r="D8" s="29" t="s">
        <v>134</v>
      </c>
      <c r="E8"/>
      <c r="F8" s="1"/>
      <c r="G8" s="1"/>
      <c r="H8" s="1"/>
      <c r="I8" s="1"/>
      <c r="J8"/>
      <c r="K8" s="1"/>
      <c r="L8" s="1"/>
      <c r="M8" s="1"/>
      <c r="N8" s="1"/>
      <c r="O8"/>
      <c r="P8" s="1"/>
      <c r="Q8" s="1"/>
      <c r="R8" s="1"/>
      <c r="S8" s="1">
        <f t="shared" si="0"/>
        <v>1.247760378E+16</v>
      </c>
    </row>
    <row r="9" spans="1:19" s="4" customFormat="1">
      <c r="A9" s="17" t="s">
        <v>69</v>
      </c>
      <c r="B9" s="26" t="s">
        <v>135</v>
      </c>
      <c r="C9" s="26" t="s">
        <v>136</v>
      </c>
      <c r="D9" s="27" t="s">
        <v>137</v>
      </c>
      <c r="E9"/>
      <c r="F9" s="1"/>
      <c r="G9" s="1"/>
      <c r="H9" s="1"/>
      <c r="I9" s="1"/>
      <c r="J9"/>
      <c r="K9" s="1"/>
      <c r="L9" s="1"/>
      <c r="M9" s="1"/>
      <c r="N9" s="1"/>
      <c r="O9"/>
      <c r="P9" s="1"/>
      <c r="Q9" s="1"/>
      <c r="R9" s="1"/>
      <c r="S9" s="1">
        <f t="shared" si="0"/>
        <v>-9610922510000000</v>
      </c>
    </row>
    <row r="10" spans="1:19" s="4" customFormat="1">
      <c r="A10" s="20" t="s">
        <v>73</v>
      </c>
      <c r="B10" s="28" t="s">
        <v>138</v>
      </c>
      <c r="C10" s="28" t="s">
        <v>139</v>
      </c>
      <c r="D10" s="29" t="s">
        <v>140</v>
      </c>
      <c r="E10"/>
      <c r="F10" s="1"/>
      <c r="G10" s="1"/>
      <c r="H10" s="1"/>
      <c r="I10" s="1"/>
      <c r="J10"/>
      <c r="K10" s="1"/>
      <c r="L10" s="1"/>
      <c r="M10" s="1"/>
      <c r="N10" s="1"/>
      <c r="O10"/>
      <c r="P10" s="1"/>
      <c r="Q10" s="1"/>
      <c r="R10" s="1"/>
      <c r="S10" s="1">
        <f t="shared" si="0"/>
        <v>7799600989999990</v>
      </c>
    </row>
    <row r="11" spans="1:19" s="4" customFormat="1">
      <c r="A11" s="17" t="s">
        <v>77</v>
      </c>
      <c r="B11" s="26" t="s">
        <v>141</v>
      </c>
      <c r="C11" s="26" t="s">
        <v>142</v>
      </c>
      <c r="D11" s="27" t="s">
        <v>143</v>
      </c>
      <c r="E11"/>
      <c r="F11" s="1"/>
      <c r="G11" s="1"/>
      <c r="H11" s="1"/>
      <c r="I11" s="1"/>
      <c r="J11"/>
      <c r="K11" s="1"/>
      <c r="L11" s="1"/>
      <c r="M11" s="1"/>
      <c r="N11" s="1"/>
      <c r="O11"/>
      <c r="P11" s="1"/>
      <c r="Q11" s="1"/>
      <c r="R11" s="1"/>
      <c r="S11" s="1">
        <f t="shared" si="0"/>
        <v>-912515900000000</v>
      </c>
    </row>
    <row r="12" spans="1:19" s="4" customFormat="1">
      <c r="A12" s="24" t="s">
        <v>81</v>
      </c>
      <c r="B12" s="30" t="s">
        <v>144</v>
      </c>
      <c r="C12" s="30" t="s">
        <v>145</v>
      </c>
      <c r="D12" s="31" t="s">
        <v>146</v>
      </c>
      <c r="E12" s="3"/>
      <c r="F12" s="2"/>
      <c r="G12" s="2"/>
      <c r="H12" s="2"/>
      <c r="I12" s="2"/>
      <c r="J12" s="3"/>
      <c r="K12" s="2"/>
      <c r="L12" s="2"/>
      <c r="M12" s="2"/>
      <c r="N12" s="2"/>
      <c r="O12" s="3"/>
      <c r="P12" s="2"/>
      <c r="Q12" s="2"/>
      <c r="R12" s="2"/>
      <c r="S12" s="2">
        <f t="shared" si="0"/>
        <v>-2004484900000000</v>
      </c>
    </row>
    <row r="13" spans="1:19" s="4" customFormat="1">
      <c r="A13" s="25" t="s">
        <v>85</v>
      </c>
      <c r="B13" s="32" t="s">
        <v>147</v>
      </c>
      <c r="C13" s="32" t="s">
        <v>148</v>
      </c>
      <c r="D13" s="33" t="s">
        <v>149</v>
      </c>
      <c r="E13" s="3"/>
      <c r="F13" s="2"/>
      <c r="G13" s="2"/>
      <c r="H13" s="2"/>
      <c r="I13" s="2"/>
      <c r="J13" s="3"/>
      <c r="K13" s="2"/>
      <c r="L13" s="2"/>
      <c r="M13" s="2"/>
      <c r="N13" s="2"/>
      <c r="O13" s="3"/>
      <c r="P13" s="2"/>
      <c r="Q13" s="2"/>
      <c r="R13" s="2"/>
      <c r="S13" s="2">
        <f t="shared" si="0"/>
        <v>8586419000000000</v>
      </c>
    </row>
    <row r="14" spans="1:19" s="4" customFormat="1">
      <c r="A14" s="24" t="s">
        <v>89</v>
      </c>
      <c r="B14" s="30" t="s">
        <v>150</v>
      </c>
      <c r="C14" s="30" t="s">
        <v>151</v>
      </c>
      <c r="D14" s="31" t="s">
        <v>152</v>
      </c>
      <c r="E14" s="3"/>
      <c r="F14" s="2"/>
      <c r="G14" s="2"/>
      <c r="H14" s="2"/>
      <c r="I14" s="2"/>
      <c r="J14" s="3"/>
      <c r="K14" s="2"/>
      <c r="L14" s="2"/>
      <c r="M14" s="2"/>
      <c r="N14" s="2"/>
      <c r="O14" s="3"/>
      <c r="P14" s="2"/>
      <c r="Q14" s="2"/>
      <c r="R14" s="2"/>
      <c r="S14" s="2">
        <f t="shared" si="0"/>
        <v>-1.017837501E+16</v>
      </c>
    </row>
    <row r="18" spans="1:19">
      <c r="A18" t="s">
        <v>4</v>
      </c>
      <c r="S18" t="s">
        <v>3</v>
      </c>
    </row>
    <row r="19" spans="1:19">
      <c r="A19" t="s">
        <v>0</v>
      </c>
      <c r="B19" t="s">
        <v>1</v>
      </c>
      <c r="C19" t="s">
        <v>2</v>
      </c>
      <c r="D19" t="s">
        <v>3</v>
      </c>
      <c r="K19" s="1"/>
      <c r="L19" s="1"/>
      <c r="M19" s="1"/>
      <c r="N19" s="1"/>
      <c r="P19" s="1"/>
      <c r="Q19" s="1"/>
      <c r="R19" s="1"/>
      <c r="S19" s="1">
        <v>-2800876630000000</v>
      </c>
    </row>
    <row r="20" spans="1:19">
      <c r="A20" s="17" t="s">
        <v>53</v>
      </c>
      <c r="B20" t="s">
        <v>183</v>
      </c>
      <c r="C20" s="18" t="s">
        <v>55</v>
      </c>
      <c r="D20" s="19" t="s">
        <v>56</v>
      </c>
      <c r="F20" t="s">
        <v>8</v>
      </c>
      <c r="G20" s="38"/>
      <c r="H20" s="34"/>
      <c r="I20" s="34"/>
      <c r="J20" s="26"/>
      <c r="L20" s="1"/>
      <c r="M20" s="1"/>
      <c r="N20" s="1"/>
      <c r="P20" s="1"/>
      <c r="Q20" s="1"/>
      <c r="R20" s="1"/>
      <c r="S20" s="1">
        <v>9194176749999990</v>
      </c>
    </row>
    <row r="21" spans="1:19">
      <c r="A21" s="20" t="s">
        <v>57</v>
      </c>
      <c r="B21" s="41" t="s">
        <v>58</v>
      </c>
      <c r="C21" s="21" t="s">
        <v>59</v>
      </c>
      <c r="D21" s="22" t="s">
        <v>60</v>
      </c>
      <c r="F21" s="40">
        <v>0.84066974010000006</v>
      </c>
      <c r="G21" s="40">
        <v>-0.49145908650000103</v>
      </c>
      <c r="H21" s="40">
        <v>-2.9635909599999889E-2</v>
      </c>
      <c r="I21" s="34"/>
      <c r="J21" s="26"/>
      <c r="L21" s="1"/>
      <c r="M21" s="1"/>
      <c r="N21" s="1"/>
      <c r="P21" s="1"/>
      <c r="Q21" s="1"/>
      <c r="R21" s="1"/>
      <c r="S21" s="1">
        <v>-1.060307357E+16</v>
      </c>
    </row>
    <row r="22" spans="1:19">
      <c r="A22" s="17" t="s">
        <v>61</v>
      </c>
      <c r="B22" s="18" t="s">
        <v>62</v>
      </c>
      <c r="C22" s="18" t="s">
        <v>63</v>
      </c>
      <c r="D22" s="19" t="s">
        <v>64</v>
      </c>
      <c r="F22" s="40">
        <v>-0.11755124290000002</v>
      </c>
      <c r="G22" s="40">
        <v>-1.561610917199999</v>
      </c>
      <c r="H22" s="40">
        <v>1.33882283999999E-2</v>
      </c>
      <c r="I22" s="34"/>
      <c r="J22" s="26"/>
      <c r="L22" s="1"/>
      <c r="M22" s="1"/>
      <c r="N22" s="1"/>
      <c r="P22" s="1"/>
      <c r="Q22" s="1"/>
      <c r="R22" s="1"/>
      <c r="S22" s="1">
        <v>1.247760378E+16</v>
      </c>
    </row>
    <row r="23" spans="1:19">
      <c r="A23" s="20" t="s">
        <v>65</v>
      </c>
      <c r="B23" s="21" t="s">
        <v>66</v>
      </c>
      <c r="C23" s="21" t="s">
        <v>67</v>
      </c>
      <c r="D23" s="22" t="s">
        <v>68</v>
      </c>
      <c r="F23" s="40">
        <v>0.44800251869999896</v>
      </c>
      <c r="G23" s="40">
        <v>-0.25553362609999997</v>
      </c>
      <c r="H23" s="40">
        <v>-4.4264838999999896E-3</v>
      </c>
      <c r="I23" s="34"/>
      <c r="J23" s="26"/>
      <c r="L23" s="1"/>
      <c r="M23" s="1"/>
      <c r="N23" s="1"/>
      <c r="P23" s="1"/>
      <c r="Q23" s="1"/>
      <c r="R23" s="1"/>
      <c r="S23" s="1">
        <v>-9610922510000000</v>
      </c>
    </row>
    <row r="24" spans="1:19">
      <c r="A24" s="17" t="s">
        <v>69</v>
      </c>
      <c r="B24" s="18" t="s">
        <v>70</v>
      </c>
      <c r="C24" s="18" t="s">
        <v>71</v>
      </c>
      <c r="D24" s="19" t="s">
        <v>72</v>
      </c>
      <c r="F24" s="40">
        <v>0.28634688009999898</v>
      </c>
      <c r="G24" s="40">
        <v>-1.6784218240999991</v>
      </c>
      <c r="H24" s="40">
        <v>-1.26896180999999E-2</v>
      </c>
      <c r="I24" s="34"/>
      <c r="J24" s="26"/>
      <c r="L24" s="1"/>
      <c r="M24" s="1"/>
      <c r="N24" s="1"/>
      <c r="P24" s="1"/>
      <c r="Q24" s="1"/>
      <c r="R24" s="1"/>
      <c r="S24" s="1">
        <v>7799600989999990</v>
      </c>
    </row>
    <row r="25" spans="1:19">
      <c r="A25" s="20" t="s">
        <v>73</v>
      </c>
      <c r="B25" s="21" t="s">
        <v>74</v>
      </c>
      <c r="C25" s="21" t="s">
        <v>75</v>
      </c>
      <c r="D25" s="22" t="s">
        <v>76</v>
      </c>
      <c r="F25" s="40">
        <v>-1.7719409600000013E-2</v>
      </c>
      <c r="G25" s="40">
        <v>-0.28191203940000109</v>
      </c>
      <c r="H25" s="40">
        <v>2.1902190500000012E-2</v>
      </c>
      <c r="I25" s="34"/>
      <c r="J25" s="26"/>
      <c r="L25" s="1"/>
      <c r="M25" s="1"/>
      <c r="N25" s="1"/>
      <c r="P25" s="1"/>
      <c r="Q25" s="1"/>
      <c r="R25" s="1"/>
      <c r="S25" s="1">
        <v>-912515900000000</v>
      </c>
    </row>
    <row r="26" spans="1:19">
      <c r="A26" s="17" t="s">
        <v>77</v>
      </c>
      <c r="B26" s="18" t="s">
        <v>78</v>
      </c>
      <c r="C26" s="18" t="s">
        <v>79</v>
      </c>
      <c r="D26" s="19" t="s">
        <v>80</v>
      </c>
      <c r="F26" s="40">
        <v>0.67461761929999797</v>
      </c>
      <c r="G26" s="40">
        <v>-1.527090415</v>
      </c>
      <c r="H26" s="40">
        <v>-3.4421146699999898E-2</v>
      </c>
      <c r="I26" s="34"/>
      <c r="J26" s="26"/>
      <c r="L26" s="1"/>
      <c r="M26" s="1"/>
      <c r="N26" s="1"/>
      <c r="P26" s="1"/>
      <c r="Q26" s="1"/>
      <c r="R26" s="1"/>
      <c r="S26" s="1">
        <v>-2004484900000000</v>
      </c>
    </row>
    <row r="27" spans="1:19">
      <c r="A27" s="20" t="s">
        <v>81</v>
      </c>
      <c r="B27" s="21" t="s">
        <v>82</v>
      </c>
      <c r="C27" s="21" t="s">
        <v>83</v>
      </c>
      <c r="D27" s="22" t="s">
        <v>84</v>
      </c>
      <c r="F27" s="44">
        <v>-0.38788805560000006</v>
      </c>
      <c r="G27" s="44">
        <v>-0.5645077798</v>
      </c>
      <c r="H27" s="44">
        <v>3.9176521200000002E-2</v>
      </c>
      <c r="I27" s="34"/>
      <c r="J27" s="26"/>
      <c r="L27" s="1"/>
      <c r="M27" s="1"/>
      <c r="N27" s="1"/>
      <c r="P27" s="1"/>
      <c r="Q27" s="1"/>
      <c r="R27" s="1"/>
      <c r="S27" s="1">
        <v>8586419000000000</v>
      </c>
    </row>
    <row r="28" spans="1:19">
      <c r="A28" s="17" t="s">
        <v>85</v>
      </c>
      <c r="B28" s="18" t="s">
        <v>86</v>
      </c>
      <c r="C28" s="18" t="s">
        <v>87</v>
      </c>
      <c r="D28" s="19" t="s">
        <v>88</v>
      </c>
      <c r="F28" s="45">
        <v>0.89653463329999905</v>
      </c>
      <c r="G28" s="45">
        <v>-1.166160551899998</v>
      </c>
      <c r="H28" s="45">
        <v>-4.3450873799999901E-2</v>
      </c>
      <c r="I28" s="34"/>
      <c r="J28" s="26"/>
      <c r="L28" s="1"/>
      <c r="M28" s="1"/>
      <c r="N28" s="1"/>
      <c r="P28" s="1"/>
      <c r="Q28" s="1"/>
      <c r="R28" s="1"/>
      <c r="S28" s="1">
        <v>-1.017837501E+16</v>
      </c>
    </row>
    <row r="29" spans="1:19">
      <c r="A29" s="20" t="s">
        <v>89</v>
      </c>
      <c r="B29" s="21" t="s">
        <v>90</v>
      </c>
      <c r="C29" s="21" t="s">
        <v>91</v>
      </c>
      <c r="D29" s="22" t="s">
        <v>92</v>
      </c>
      <c r="F29" s="45">
        <v>-0.52999431480000003</v>
      </c>
      <c r="G29" s="45">
        <v>-0.99772348610000006</v>
      </c>
      <c r="H29" s="45">
        <v>4.0799264999999904E-2</v>
      </c>
      <c r="I29" s="34"/>
      <c r="J29" s="26"/>
    </row>
    <row r="30" spans="1:19">
      <c r="F30" s="40"/>
      <c r="G30" s="40"/>
      <c r="H30" s="40"/>
    </row>
    <row r="31" spans="1:19">
      <c r="A31" s="23" t="s">
        <v>6</v>
      </c>
      <c r="F31" s="40"/>
      <c r="G31" s="40"/>
      <c r="H31" s="40"/>
    </row>
    <row r="32" spans="1:19">
      <c r="A32" s="20" t="s">
        <v>0</v>
      </c>
      <c r="B32" s="21" t="s">
        <v>1</v>
      </c>
      <c r="C32" s="21" t="s">
        <v>2</v>
      </c>
      <c r="D32" s="22" t="s">
        <v>3</v>
      </c>
      <c r="F32" s="40" t="s">
        <v>9</v>
      </c>
      <c r="G32" s="40"/>
      <c r="H32" s="40"/>
    </row>
    <row r="33" spans="1:9">
      <c r="A33" s="17" t="s">
        <v>53</v>
      </c>
      <c r="B33" s="34" t="s">
        <v>93</v>
      </c>
      <c r="C33" s="34" t="s">
        <v>94</v>
      </c>
      <c r="D33" s="35" t="s">
        <v>95</v>
      </c>
      <c r="F33" s="40">
        <v>-1.3515338372999999</v>
      </c>
      <c r="G33" s="40">
        <v>-0.6373790493</v>
      </c>
      <c r="H33" s="40">
        <v>4.751003530000001E-2</v>
      </c>
      <c r="I33" s="39"/>
    </row>
    <row r="34" spans="1:9">
      <c r="A34" s="20" t="s">
        <v>57</v>
      </c>
      <c r="B34" s="36" t="s">
        <v>96</v>
      </c>
      <c r="C34" s="36" t="s">
        <v>97</v>
      </c>
      <c r="D34" s="37" t="s">
        <v>98</v>
      </c>
      <c r="F34" s="40">
        <v>-0.87863699400000006</v>
      </c>
      <c r="G34" s="40">
        <v>-2.0060766918000001</v>
      </c>
      <c r="H34" s="40">
        <v>6.5143147E-3</v>
      </c>
      <c r="I34" s="39"/>
    </row>
    <row r="35" spans="1:9">
      <c r="A35" s="17" t="s">
        <v>61</v>
      </c>
      <c r="B35" s="34" t="s">
        <v>99</v>
      </c>
      <c r="C35" s="34" t="s">
        <v>100</v>
      </c>
      <c r="D35" s="35" t="s">
        <v>101</v>
      </c>
      <c r="F35" s="40">
        <v>0.64346772799999896</v>
      </c>
      <c r="G35" s="40">
        <v>-2.3156335279999887</v>
      </c>
      <c r="H35" s="40">
        <v>-3.9877105199999902E-2</v>
      </c>
      <c r="I35" s="39"/>
    </row>
    <row r="36" spans="1:9">
      <c r="A36" s="20" t="s">
        <v>65</v>
      </c>
      <c r="B36" s="36" t="s">
        <v>102</v>
      </c>
      <c r="C36" s="36" t="s">
        <v>103</v>
      </c>
      <c r="D36" s="37" t="s">
        <v>104</v>
      </c>
      <c r="F36" s="40">
        <v>1.6345528888999989</v>
      </c>
      <c r="G36" s="40">
        <v>-1.0068212577999989</v>
      </c>
      <c r="H36" s="40">
        <v>-3.8388377799999901E-2</v>
      </c>
      <c r="I36" s="39"/>
    </row>
    <row r="37" spans="1:9">
      <c r="A37" s="17" t="s">
        <v>69</v>
      </c>
      <c r="B37" s="34" t="s">
        <v>105</v>
      </c>
      <c r="C37" s="34" t="s">
        <v>106</v>
      </c>
      <c r="D37" s="35" t="s">
        <v>107</v>
      </c>
      <c r="F37" s="40">
        <v>0.88200390029999898</v>
      </c>
      <c r="G37" s="40">
        <v>0.41053264519999999</v>
      </c>
      <c r="H37" s="40">
        <v>1.062294900000001E-2</v>
      </c>
      <c r="I37" s="39"/>
    </row>
    <row r="38" spans="1:9">
      <c r="A38" s="20" t="s">
        <v>73</v>
      </c>
      <c r="B38" s="36" t="s">
        <v>108</v>
      </c>
      <c r="C38" s="36" t="s">
        <v>109</v>
      </c>
      <c r="D38" s="37" t="s">
        <v>110</v>
      </c>
      <c r="F38" s="40">
        <v>-0.60926853130000103</v>
      </c>
      <c r="G38" s="40">
        <v>0.45201119159998993</v>
      </c>
      <c r="H38" s="40">
        <v>4.9596781099999904E-2</v>
      </c>
      <c r="I38" s="39"/>
    </row>
    <row r="39" spans="1:9">
      <c r="A39" s="17" t="s">
        <v>77</v>
      </c>
      <c r="B39" s="34" t="s">
        <v>111</v>
      </c>
      <c r="C39" s="34" t="s">
        <v>112</v>
      </c>
      <c r="D39" s="35" t="s">
        <v>113</v>
      </c>
      <c r="F39" s="40">
        <v>-1.4282834872000001</v>
      </c>
      <c r="G39" s="40">
        <v>-0.70964747119999894</v>
      </c>
      <c r="H39" s="40">
        <v>4.5913298400000004E-2</v>
      </c>
      <c r="I39" s="39"/>
    </row>
    <row r="40" spans="1:9">
      <c r="A40" s="43">
        <v>2378495</v>
      </c>
      <c r="B40" s="36" t="s">
        <v>114</v>
      </c>
      <c r="C40" s="36" t="s">
        <v>115</v>
      </c>
      <c r="D40" s="37" t="s">
        <v>116</v>
      </c>
      <c r="F40" s="45">
        <v>-0.91253016190000102</v>
      </c>
      <c r="G40" s="45">
        <v>-2.0591237381999887</v>
      </c>
      <c r="H40" s="45">
        <v>4.4900904999999897E-3</v>
      </c>
      <c r="I40" s="39"/>
    </row>
    <row r="41" spans="1:9">
      <c r="A41" s="17" t="s">
        <v>85</v>
      </c>
      <c r="B41" s="34" t="s">
        <v>117</v>
      </c>
      <c r="C41" s="34" t="s">
        <v>118</v>
      </c>
      <c r="D41" s="35" t="s">
        <v>119</v>
      </c>
      <c r="F41" s="45">
        <v>0.61674121229999901</v>
      </c>
      <c r="G41" s="45">
        <v>-2.3203043094</v>
      </c>
      <c r="H41" s="45">
        <v>-3.9180052999999999E-2</v>
      </c>
      <c r="I41" s="39"/>
    </row>
    <row r="42" spans="1:9">
      <c r="A42" s="20" t="s">
        <v>89</v>
      </c>
      <c r="B42" s="36" t="s">
        <v>120</v>
      </c>
      <c r="C42" s="36" t="s">
        <v>121</v>
      </c>
      <c r="D42" s="37" t="s">
        <v>122</v>
      </c>
      <c r="F42" s="45">
        <v>1.5678513849999889</v>
      </c>
      <c r="G42" s="45">
        <v>-0.98065732799999894</v>
      </c>
      <c r="H42" s="45">
        <v>-3.4463896699999899E-2</v>
      </c>
      <c r="I42" s="39"/>
    </row>
    <row r="43" spans="1:9">
      <c r="F43" s="40"/>
      <c r="G43" s="40"/>
      <c r="H43" s="40"/>
    </row>
    <row r="44" spans="1:9">
      <c r="A44" s="23" t="s">
        <v>7</v>
      </c>
      <c r="F44" s="40"/>
      <c r="G44" s="40"/>
      <c r="H44" s="40"/>
    </row>
    <row r="45" spans="1:9">
      <c r="A45" s="20" t="s">
        <v>0</v>
      </c>
      <c r="B45" s="21" t="s">
        <v>1</v>
      </c>
      <c r="C45" s="21" t="s">
        <v>2</v>
      </c>
      <c r="D45" s="22" t="s">
        <v>3</v>
      </c>
      <c r="F45" s="40" t="s">
        <v>10</v>
      </c>
      <c r="G45" s="40"/>
      <c r="H45" s="40"/>
    </row>
    <row r="46" spans="1:9">
      <c r="A46" s="17" t="s">
        <v>53</v>
      </c>
      <c r="B46" s="18" t="s">
        <v>153</v>
      </c>
      <c r="C46" s="18" t="s">
        <v>154</v>
      </c>
      <c r="D46" s="19" t="s">
        <v>155</v>
      </c>
      <c r="F46" s="40">
        <v>0.69710086780000002</v>
      </c>
      <c r="G46" s="40">
        <v>4.1585606003000004</v>
      </c>
      <c r="H46" s="40">
        <v>-2.9920304999999991E-2</v>
      </c>
    </row>
    <row r="47" spans="1:9">
      <c r="A47" s="20" t="s">
        <v>57</v>
      </c>
      <c r="B47" s="21" t="s">
        <v>156</v>
      </c>
      <c r="C47" s="21" t="s">
        <v>157</v>
      </c>
      <c r="D47" s="22" t="s">
        <v>158</v>
      </c>
      <c r="F47" s="40">
        <v>-3.0900258938999903</v>
      </c>
      <c r="G47" s="40">
        <v>-5.1631935825999999</v>
      </c>
      <c r="H47" s="40">
        <v>9.0237993799999902E-2</v>
      </c>
    </row>
    <row r="48" spans="1:9">
      <c r="A48" s="17" t="s">
        <v>61</v>
      </c>
      <c r="B48" s="18" t="s">
        <v>159</v>
      </c>
      <c r="C48" s="18" t="s">
        <v>160</v>
      </c>
      <c r="D48" s="19" t="s">
        <v>161</v>
      </c>
      <c r="F48" s="40">
        <v>4.4967889710999893</v>
      </c>
      <c r="G48" s="40">
        <v>1.6402529321999912</v>
      </c>
      <c r="H48" s="40">
        <v>-0.107526946</v>
      </c>
    </row>
    <row r="49" spans="1:8">
      <c r="A49" s="20" t="s">
        <v>65</v>
      </c>
      <c r="B49" s="21" t="s">
        <v>162</v>
      </c>
      <c r="C49" s="21" t="s">
        <v>163</v>
      </c>
      <c r="D49" s="22" t="s">
        <v>164</v>
      </c>
      <c r="F49" s="40">
        <v>-5.1804261661999913</v>
      </c>
      <c r="G49" s="40">
        <v>-1.4609860601999989</v>
      </c>
      <c r="H49" s="40">
        <v>0.1234889358</v>
      </c>
    </row>
    <row r="50" spans="1:8">
      <c r="A50" s="17" t="s">
        <v>69</v>
      </c>
      <c r="B50" s="18" t="s">
        <v>165</v>
      </c>
      <c r="C50" s="18" t="s">
        <v>166</v>
      </c>
      <c r="D50" s="19" t="s">
        <v>167</v>
      </c>
      <c r="F50" s="40">
        <v>4.8216251879999898</v>
      </c>
      <c r="G50" s="40">
        <v>-2.9422813724000001</v>
      </c>
      <c r="H50" s="40">
        <v>-9.7178512899999986E-2</v>
      </c>
    </row>
    <row r="51" spans="1:8">
      <c r="A51" s="20" t="s">
        <v>73</v>
      </c>
      <c r="B51" s="21" t="s">
        <v>168</v>
      </c>
      <c r="C51" s="21" t="s">
        <v>169</v>
      </c>
      <c r="D51" s="22" t="s">
        <v>170</v>
      </c>
      <c r="F51" s="40">
        <v>-3.8332976847000015</v>
      </c>
      <c r="G51" s="40">
        <v>2.5221373891000001</v>
      </c>
      <c r="H51" s="40">
        <v>7.7139184899999894E-2</v>
      </c>
    </row>
    <row r="52" spans="1:8">
      <c r="A52" s="17" t="s">
        <v>77</v>
      </c>
      <c r="B52" s="18" t="s">
        <v>171</v>
      </c>
      <c r="C52" s="18" t="s">
        <v>172</v>
      </c>
      <c r="D52" s="19" t="s">
        <v>173</v>
      </c>
      <c r="F52" s="40">
        <v>1.4921973005</v>
      </c>
      <c r="G52" s="40">
        <v>-5.9883659827999889</v>
      </c>
      <c r="H52" s="40">
        <v>-9.7724519000000013E-3</v>
      </c>
    </row>
    <row r="53" spans="1:8">
      <c r="A53" s="20" t="s">
        <v>81</v>
      </c>
      <c r="B53" s="21" t="s">
        <v>174</v>
      </c>
      <c r="C53" s="21" t="s">
        <v>175</v>
      </c>
      <c r="D53" s="22" t="s">
        <v>176</v>
      </c>
      <c r="F53" s="45">
        <v>0.18135279979999899</v>
      </c>
      <c r="G53" s="45">
        <v>4.1689774471000014</v>
      </c>
      <c r="H53" s="45">
        <v>-2.0475609199999998E-2</v>
      </c>
    </row>
    <row r="54" spans="1:8">
      <c r="A54" s="17" t="s">
        <v>85</v>
      </c>
      <c r="B54" s="18" t="s">
        <v>177</v>
      </c>
      <c r="C54" s="18" t="s">
        <v>178</v>
      </c>
      <c r="D54" s="19" t="s">
        <v>179</v>
      </c>
      <c r="F54" s="44">
        <v>-2.8308144700999902</v>
      </c>
      <c r="G54" s="44">
        <v>-5.4233252548999999</v>
      </c>
      <c r="H54" s="44">
        <v>8.5649157500000003E-2</v>
      </c>
    </row>
    <row r="55" spans="1:8">
      <c r="A55" s="20" t="s">
        <v>89</v>
      </c>
      <c r="B55" s="21" t="s">
        <v>180</v>
      </c>
      <c r="C55" s="21" t="s">
        <v>181</v>
      </c>
      <c r="D55" s="22" t="s">
        <v>182</v>
      </c>
      <c r="F55" s="45">
        <v>4.1783094853999998</v>
      </c>
      <c r="G55" s="45">
        <v>1.9713393839999911</v>
      </c>
      <c r="H55" s="45">
        <v>-0.1017798501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52B6-1C48-4BEE-8FB1-8E1125FA77B2}">
  <dimension ref="A1:F27"/>
  <sheetViews>
    <sheetView tabSelected="1" workbookViewId="0">
      <selection activeCell="C26" sqref="C26:C27"/>
    </sheetView>
  </sheetViews>
  <sheetFormatPr baseColWidth="10" defaultRowHeight="14.4"/>
  <cols>
    <col min="1" max="1" width="15" customWidth="1"/>
    <col min="2" max="2" width="21" customWidth="1"/>
    <col min="3" max="3" width="76.109375" bestFit="1" customWidth="1"/>
    <col min="4" max="4" width="77.5546875" bestFit="1" customWidth="1"/>
  </cols>
  <sheetData>
    <row r="1" spans="1:6">
      <c r="A1" t="s">
        <v>11</v>
      </c>
    </row>
    <row r="2" spans="1:6">
      <c r="A2" t="s">
        <v>12</v>
      </c>
    </row>
    <row r="3" spans="1:6">
      <c r="A3" t="s">
        <v>13</v>
      </c>
    </row>
    <row r="4" spans="1:6">
      <c r="A4" t="s">
        <v>14</v>
      </c>
    </row>
    <row r="5" spans="1:6">
      <c r="A5" t="s">
        <v>15</v>
      </c>
    </row>
    <row r="6" spans="1:6">
      <c r="A6" t="s">
        <v>16</v>
      </c>
    </row>
    <row r="7" spans="1:6">
      <c r="A7" t="s">
        <v>17</v>
      </c>
    </row>
    <row r="8" spans="1:6">
      <c r="A8" t="s">
        <v>18</v>
      </c>
    </row>
    <row r="9" spans="1:6">
      <c r="A9" t="s">
        <v>19</v>
      </c>
    </row>
    <row r="10" spans="1:6">
      <c r="A10" s="13" t="s">
        <v>29</v>
      </c>
    </row>
    <row r="12" spans="1:6">
      <c r="C12" s="9" t="s">
        <v>27</v>
      </c>
    </row>
    <row r="13" spans="1:6">
      <c r="A13" s="9" t="s">
        <v>20</v>
      </c>
    </row>
    <row r="14" spans="1:6">
      <c r="A14" s="7" t="s">
        <v>21</v>
      </c>
      <c r="B14" s="10" t="s">
        <v>22</v>
      </c>
      <c r="C14" s="9" t="s">
        <v>31</v>
      </c>
      <c r="D14" s="9" t="s">
        <v>32</v>
      </c>
      <c r="F14" t="s">
        <v>48</v>
      </c>
    </row>
    <row r="15" spans="1:6">
      <c r="A15" s="8">
        <v>2451545</v>
      </c>
      <c r="B15" s="6" t="s">
        <v>23</v>
      </c>
      <c r="C15" s="46" t="s">
        <v>33</v>
      </c>
      <c r="D15" s="4" t="s">
        <v>45</v>
      </c>
      <c r="F15" s="1">
        <v>4.9999999999999998E-7</v>
      </c>
    </row>
    <row r="16" spans="1:6">
      <c r="A16" s="8">
        <v>2415020</v>
      </c>
      <c r="B16" s="6" t="s">
        <v>24</v>
      </c>
      <c r="C16" s="46" t="s">
        <v>30</v>
      </c>
      <c r="D16" s="47" t="s">
        <v>46</v>
      </c>
      <c r="F16" s="1">
        <v>4.9999999999999998E-7</v>
      </c>
    </row>
    <row r="17" spans="1:6">
      <c r="A17" s="8">
        <v>2378495</v>
      </c>
      <c r="B17" s="6" t="s">
        <v>25</v>
      </c>
      <c r="C17" s="46" t="s">
        <v>34</v>
      </c>
      <c r="D17" s="47" t="s">
        <v>47</v>
      </c>
      <c r="F17" s="1">
        <v>4.9999999999999998E-7</v>
      </c>
    </row>
    <row r="18" spans="1:6">
      <c r="B18" s="11"/>
    </row>
    <row r="19" spans="1:6">
      <c r="A19" s="9" t="s">
        <v>26</v>
      </c>
      <c r="B19" s="11"/>
    </row>
    <row r="20" spans="1:6">
      <c r="A20" s="7" t="s">
        <v>21</v>
      </c>
      <c r="B20" s="10" t="s">
        <v>22</v>
      </c>
    </row>
    <row r="21" spans="1:6">
      <c r="A21" s="8">
        <v>2451545</v>
      </c>
      <c r="B21" s="14">
        <v>36526</v>
      </c>
      <c r="C21" s="46" t="s">
        <v>41</v>
      </c>
      <c r="D21" s="12" t="s">
        <v>42</v>
      </c>
      <c r="F21" s="1">
        <v>4.9999999999999998E-7</v>
      </c>
    </row>
    <row r="22" spans="1:6">
      <c r="A22" s="8">
        <v>2415020</v>
      </c>
      <c r="B22" s="15" t="s">
        <v>37</v>
      </c>
      <c r="C22" s="48" t="s">
        <v>43</v>
      </c>
      <c r="D22" s="12" t="s">
        <v>44</v>
      </c>
      <c r="F22" s="1">
        <v>4.9999999999999998E-7</v>
      </c>
    </row>
    <row r="23" spans="1:6">
      <c r="B23" s="11"/>
    </row>
    <row r="24" spans="1:6">
      <c r="A24" t="s">
        <v>28</v>
      </c>
      <c r="B24" s="11"/>
    </row>
    <row r="25" spans="1:6">
      <c r="A25" s="7" t="s">
        <v>21</v>
      </c>
      <c r="B25" s="10" t="s">
        <v>22</v>
      </c>
    </row>
    <row r="26" spans="1:6">
      <c r="A26" s="8">
        <v>2451545</v>
      </c>
      <c r="B26" s="14">
        <v>36526</v>
      </c>
      <c r="C26" s="46" t="s">
        <v>38</v>
      </c>
      <c r="D26" s="12" t="s">
        <v>39</v>
      </c>
      <c r="F26" s="1">
        <v>4.9999999999999998E-7</v>
      </c>
    </row>
    <row r="27" spans="1:6">
      <c r="A27" s="8">
        <v>2378495</v>
      </c>
      <c r="B27" s="15" t="s">
        <v>36</v>
      </c>
      <c r="C27" s="46" t="s">
        <v>35</v>
      </c>
      <c r="D27" t="s">
        <v>40</v>
      </c>
      <c r="F27" s="1">
        <v>4.9999999999999998E-7</v>
      </c>
    </row>
  </sheetData>
  <hyperlinks>
    <hyperlink ref="A10" r:id="rId1" location="/" xr:uid="{9D8959BB-6B1A-4C1D-97B1-8DF2D47247BA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2238-7388-4CB8-9892-1871E599CDC0}">
  <dimension ref="A1:K5"/>
  <sheetViews>
    <sheetView topLeftCell="C1" zoomScaleNormal="100" workbookViewId="0">
      <selection activeCell="G10" sqref="G10"/>
    </sheetView>
  </sheetViews>
  <sheetFormatPr baseColWidth="10" defaultRowHeight="14.4"/>
  <cols>
    <col min="1" max="1" width="31.88671875" bestFit="1" customWidth="1"/>
    <col min="3" max="3" width="15" bestFit="1" customWidth="1"/>
    <col min="11" max="11" width="97.33203125" customWidth="1"/>
  </cols>
  <sheetData>
    <row r="1" spans="1:11">
      <c r="D1" t="s">
        <v>27</v>
      </c>
    </row>
    <row r="2" spans="1:11">
      <c r="B2" t="s">
        <v>21</v>
      </c>
      <c r="C2" t="s">
        <v>193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</row>
    <row r="3" spans="1:11" ht="28.8">
      <c r="A3" t="s">
        <v>184</v>
      </c>
      <c r="B3">
        <v>2451600</v>
      </c>
      <c r="C3" s="42">
        <v>36581.5</v>
      </c>
      <c r="D3" s="1">
        <v>2.1121584599838599</v>
      </c>
      <c r="E3" s="1">
        <v>0.35465086402627799</v>
      </c>
      <c r="F3" s="1">
        <v>0.139252155827254</v>
      </c>
      <c r="G3" s="1">
        <v>1.6471597089216499E-4</v>
      </c>
      <c r="H3" s="1">
        <v>2.6195699818465801E-2</v>
      </c>
      <c r="I3" s="1">
        <v>1.1841874198264799E-2</v>
      </c>
      <c r="K3" s="5" t="s">
        <v>194</v>
      </c>
    </row>
    <row r="4" spans="1:11" ht="28.8">
      <c r="A4" t="s">
        <v>185</v>
      </c>
      <c r="B4">
        <v>2451990</v>
      </c>
      <c r="C4" s="42">
        <v>36971.5</v>
      </c>
      <c r="D4" s="1">
        <v>0.27985288470337399</v>
      </c>
      <c r="E4" s="1">
        <v>4.9941698002966398E-2</v>
      </c>
      <c r="F4" s="1">
        <v>6.7557689912962404E-2</v>
      </c>
      <c r="G4" s="1">
        <v>-1.7005691058989999E-3</v>
      </c>
      <c r="H4" s="1">
        <v>-2.6642389770214899E-3</v>
      </c>
      <c r="I4" s="1">
        <v>-1.35001739170169E-3</v>
      </c>
      <c r="K4" s="5" t="s">
        <v>195</v>
      </c>
    </row>
    <row r="5" spans="1:11" ht="28.8">
      <c r="A5" t="s">
        <v>186</v>
      </c>
      <c r="B5">
        <v>2453000</v>
      </c>
      <c r="C5" s="42">
        <v>37981.5</v>
      </c>
      <c r="D5" s="1">
        <v>-4.9434057125571496</v>
      </c>
      <c r="E5" s="1">
        <v>0.85960215974240095</v>
      </c>
      <c r="F5" s="1">
        <v>0.48658131658620202</v>
      </c>
      <c r="G5" s="1">
        <v>1.4580804148990999E-2</v>
      </c>
      <c r="H5" s="1">
        <v>-4.6559958972920198E-3</v>
      </c>
      <c r="I5" s="1">
        <v>-1.91916373198165E-3</v>
      </c>
      <c r="K5" s="5" t="s">
        <v>196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AD80-50EF-425F-B8C5-C27F8E7E89E1}">
  <dimension ref="A1:D12"/>
  <sheetViews>
    <sheetView workbookViewId="0">
      <selection activeCell="A3" sqref="A3:D12"/>
    </sheetView>
  </sheetViews>
  <sheetFormatPr baseColWidth="10" defaultRowHeight="14.4"/>
  <cols>
    <col min="1" max="1" width="24.77734375" bestFit="1" customWidth="1"/>
    <col min="2" max="4" width="25.109375" bestFit="1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s="16" t="s">
        <v>0</v>
      </c>
      <c r="B2" s="16" t="s">
        <v>1</v>
      </c>
      <c r="C2" s="16" t="s">
        <v>2</v>
      </c>
      <c r="D2" s="16" t="s">
        <v>3</v>
      </c>
    </row>
    <row r="3" spans="1:4">
      <c r="A3" s="16" t="s">
        <v>53</v>
      </c>
      <c r="B3" s="16" t="s">
        <v>54</v>
      </c>
      <c r="C3" s="16" t="s">
        <v>55</v>
      </c>
      <c r="D3" s="16" t="s">
        <v>56</v>
      </c>
    </row>
    <row r="4" spans="1:4">
      <c r="A4" s="16" t="s">
        <v>57</v>
      </c>
      <c r="B4" s="16" t="s">
        <v>58</v>
      </c>
      <c r="C4" s="16" t="s">
        <v>59</v>
      </c>
      <c r="D4" s="16" t="s">
        <v>60</v>
      </c>
    </row>
    <row r="5" spans="1:4">
      <c r="A5" s="16" t="s">
        <v>61</v>
      </c>
      <c r="B5" s="16" t="s">
        <v>62</v>
      </c>
      <c r="C5" s="16" t="s">
        <v>63</v>
      </c>
      <c r="D5" s="16" t="s">
        <v>64</v>
      </c>
    </row>
    <row r="6" spans="1:4">
      <c r="A6" s="16" t="s">
        <v>65</v>
      </c>
      <c r="B6" s="16" t="s">
        <v>66</v>
      </c>
      <c r="C6" s="16" t="s">
        <v>67</v>
      </c>
      <c r="D6" s="16" t="s">
        <v>68</v>
      </c>
    </row>
    <row r="7" spans="1:4">
      <c r="A7" s="16" t="s">
        <v>69</v>
      </c>
      <c r="B7" s="16" t="s">
        <v>70</v>
      </c>
      <c r="C7" s="16" t="s">
        <v>71</v>
      </c>
      <c r="D7" s="16" t="s">
        <v>72</v>
      </c>
    </row>
    <row r="8" spans="1:4">
      <c r="A8" s="16" t="s">
        <v>73</v>
      </c>
      <c r="B8" s="16" t="s">
        <v>74</v>
      </c>
      <c r="C8" s="16" t="s">
        <v>75</v>
      </c>
      <c r="D8" s="16" t="s">
        <v>76</v>
      </c>
    </row>
    <row r="9" spans="1:4">
      <c r="A9" s="16" t="s">
        <v>77</v>
      </c>
      <c r="B9" s="16" t="s">
        <v>78</v>
      </c>
      <c r="C9" s="16" t="s">
        <v>79</v>
      </c>
      <c r="D9" s="16" t="s">
        <v>80</v>
      </c>
    </row>
    <row r="10" spans="1:4">
      <c r="A10" s="16" t="s">
        <v>81</v>
      </c>
      <c r="B10" s="16" t="s">
        <v>82</v>
      </c>
      <c r="C10" s="16" t="s">
        <v>83</v>
      </c>
      <c r="D10" s="16" t="s">
        <v>84</v>
      </c>
    </row>
    <row r="11" spans="1:4">
      <c r="A11" s="16" t="s">
        <v>85</v>
      </c>
      <c r="B11" s="16" t="s">
        <v>86</v>
      </c>
      <c r="C11" s="16" t="s">
        <v>87</v>
      </c>
      <c r="D11" s="16" t="s">
        <v>88</v>
      </c>
    </row>
    <row r="12" spans="1:4">
      <c r="A12" s="16" t="s">
        <v>89</v>
      </c>
      <c r="B12" s="16" t="s">
        <v>90</v>
      </c>
      <c r="C12" s="16" t="s">
        <v>91</v>
      </c>
      <c r="D12" s="16" t="s">
        <v>92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5976-DF83-41BF-A44E-2451DC36BB2B}">
  <dimension ref="A1:D12"/>
  <sheetViews>
    <sheetView workbookViewId="0">
      <selection activeCell="D12" sqref="A2:D12"/>
    </sheetView>
  </sheetViews>
  <sheetFormatPr baseColWidth="10" defaultRowHeight="14.4"/>
  <cols>
    <col min="1" max="1" width="24.77734375" bestFit="1" customWidth="1"/>
    <col min="2" max="3" width="25.44140625" bestFit="1" customWidth="1"/>
    <col min="4" max="4" width="25.109375" bestFit="1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s="16" t="s">
        <v>0</v>
      </c>
      <c r="B2" s="16" t="s">
        <v>1</v>
      </c>
      <c r="C2" s="16" t="s">
        <v>2</v>
      </c>
      <c r="D2" s="16" t="s">
        <v>3</v>
      </c>
    </row>
    <row r="3" spans="1:4">
      <c r="A3" s="16" t="s">
        <v>53</v>
      </c>
      <c r="B3" s="16" t="s">
        <v>93</v>
      </c>
      <c r="C3" s="16" t="s">
        <v>94</v>
      </c>
      <c r="D3" s="16" t="s">
        <v>95</v>
      </c>
    </row>
    <row r="4" spans="1:4">
      <c r="A4" s="16" t="s">
        <v>57</v>
      </c>
      <c r="B4" s="16" t="s">
        <v>96</v>
      </c>
      <c r="C4" s="16" t="s">
        <v>97</v>
      </c>
      <c r="D4" s="16" t="s">
        <v>98</v>
      </c>
    </row>
    <row r="5" spans="1:4">
      <c r="A5" s="16" t="s">
        <v>61</v>
      </c>
      <c r="B5" s="16" t="s">
        <v>99</v>
      </c>
      <c r="C5" s="16" t="s">
        <v>100</v>
      </c>
      <c r="D5" s="16" t="s">
        <v>101</v>
      </c>
    </row>
    <row r="6" spans="1:4">
      <c r="A6" s="16" t="s">
        <v>65</v>
      </c>
      <c r="B6" s="16" t="s">
        <v>102</v>
      </c>
      <c r="C6" s="16" t="s">
        <v>103</v>
      </c>
      <c r="D6" s="16" t="s">
        <v>104</v>
      </c>
    </row>
    <row r="7" spans="1:4">
      <c r="A7" s="16" t="s">
        <v>69</v>
      </c>
      <c r="B7" s="16" t="s">
        <v>105</v>
      </c>
      <c r="C7" s="16" t="s">
        <v>106</v>
      </c>
      <c r="D7" s="16" t="s">
        <v>107</v>
      </c>
    </row>
    <row r="8" spans="1:4">
      <c r="A8" s="16" t="s">
        <v>73</v>
      </c>
      <c r="B8" s="16" t="s">
        <v>108</v>
      </c>
      <c r="C8" s="16" t="s">
        <v>109</v>
      </c>
      <c r="D8" s="16" t="s">
        <v>110</v>
      </c>
    </row>
    <row r="9" spans="1:4">
      <c r="A9" s="16" t="s">
        <v>77</v>
      </c>
      <c r="B9" s="16" t="s">
        <v>111</v>
      </c>
      <c r="C9" s="16" t="s">
        <v>112</v>
      </c>
      <c r="D9" s="16" t="s">
        <v>113</v>
      </c>
    </row>
    <row r="10" spans="1:4">
      <c r="A10" s="16" t="s">
        <v>81</v>
      </c>
      <c r="B10" s="16" t="s">
        <v>114</v>
      </c>
      <c r="C10" s="16" t="s">
        <v>115</v>
      </c>
      <c r="D10" s="16" t="s">
        <v>116</v>
      </c>
    </row>
    <row r="11" spans="1:4">
      <c r="A11" s="16" t="s">
        <v>85</v>
      </c>
      <c r="B11" s="16" t="s">
        <v>117</v>
      </c>
      <c r="C11" s="16" t="s">
        <v>118</v>
      </c>
      <c r="D11" s="16" t="s">
        <v>119</v>
      </c>
    </row>
    <row r="12" spans="1:4">
      <c r="A12" s="16" t="s">
        <v>89</v>
      </c>
      <c r="B12" s="16" t="s">
        <v>120</v>
      </c>
      <c r="C12" s="16" t="s">
        <v>121</v>
      </c>
      <c r="D12" s="16" t="s">
        <v>122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9824-4167-42A6-A11D-79D1F0E3E18A}">
  <dimension ref="A1:D12"/>
  <sheetViews>
    <sheetView workbookViewId="0">
      <selection activeCell="A2" sqref="A2:D12"/>
    </sheetView>
  </sheetViews>
  <sheetFormatPr baseColWidth="10" defaultRowHeight="14.4"/>
  <cols>
    <col min="1" max="1" width="24.77734375" bestFit="1" customWidth="1"/>
    <col min="2" max="2" width="25.109375" bestFit="1" customWidth="1"/>
    <col min="3" max="3" width="24.44140625" bestFit="1" customWidth="1"/>
    <col min="4" max="4" width="25.109375" bestFit="1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s="16" t="s">
        <v>0</v>
      </c>
      <c r="B2" s="16" t="s">
        <v>1</v>
      </c>
      <c r="C2" s="16" t="s">
        <v>2</v>
      </c>
      <c r="D2" s="16" t="s">
        <v>3</v>
      </c>
    </row>
    <row r="3" spans="1:4">
      <c r="A3" s="16" t="s">
        <v>53</v>
      </c>
      <c r="B3" s="16" t="s">
        <v>123</v>
      </c>
      <c r="C3" s="16" t="s">
        <v>124</v>
      </c>
      <c r="D3" s="16" t="s">
        <v>125</v>
      </c>
    </row>
    <row r="4" spans="1:4">
      <c r="A4" s="16" t="s">
        <v>57</v>
      </c>
      <c r="B4" s="16" t="s">
        <v>126</v>
      </c>
      <c r="C4" s="16" t="s">
        <v>127</v>
      </c>
      <c r="D4" s="16" t="s">
        <v>128</v>
      </c>
    </row>
    <row r="5" spans="1:4">
      <c r="A5" s="16" t="s">
        <v>61</v>
      </c>
      <c r="B5" s="16" t="s">
        <v>129</v>
      </c>
      <c r="C5" s="16" t="s">
        <v>130</v>
      </c>
      <c r="D5" s="16" t="s">
        <v>131</v>
      </c>
    </row>
    <row r="6" spans="1:4">
      <c r="A6" s="16" t="s">
        <v>65</v>
      </c>
      <c r="B6" s="16" t="s">
        <v>132</v>
      </c>
      <c r="C6" s="16" t="s">
        <v>133</v>
      </c>
      <c r="D6" s="16" t="s">
        <v>134</v>
      </c>
    </row>
    <row r="7" spans="1:4">
      <c r="A7" s="16" t="s">
        <v>69</v>
      </c>
      <c r="B7" s="16" t="s">
        <v>135</v>
      </c>
      <c r="C7" s="16" t="s">
        <v>136</v>
      </c>
      <c r="D7" s="16" t="s">
        <v>137</v>
      </c>
    </row>
    <row r="8" spans="1:4">
      <c r="A8" s="16" t="s">
        <v>73</v>
      </c>
      <c r="B8" s="16" t="s">
        <v>138</v>
      </c>
      <c r="C8" s="16" t="s">
        <v>139</v>
      </c>
      <c r="D8" s="16" t="s">
        <v>140</v>
      </c>
    </row>
    <row r="9" spans="1:4">
      <c r="A9" s="16" t="s">
        <v>77</v>
      </c>
      <c r="B9" s="16" t="s">
        <v>141</v>
      </c>
      <c r="C9" s="16" t="s">
        <v>142</v>
      </c>
      <c r="D9" s="16" t="s">
        <v>143</v>
      </c>
    </row>
    <row r="10" spans="1:4">
      <c r="A10" s="16" t="s">
        <v>81</v>
      </c>
      <c r="B10" s="16" t="s">
        <v>144</v>
      </c>
      <c r="C10" s="16" t="s">
        <v>145</v>
      </c>
      <c r="D10" s="16" t="s">
        <v>146</v>
      </c>
    </row>
    <row r="11" spans="1:4">
      <c r="A11" s="16" t="s">
        <v>85</v>
      </c>
      <c r="B11" s="16" t="s">
        <v>147</v>
      </c>
      <c r="C11" s="16" t="s">
        <v>148</v>
      </c>
      <c r="D11" s="16" t="s">
        <v>149</v>
      </c>
    </row>
    <row r="12" spans="1:4">
      <c r="A12" s="16" t="s">
        <v>89</v>
      </c>
      <c r="B12" s="16" t="s">
        <v>150</v>
      </c>
      <c r="C12" s="16" t="s">
        <v>151</v>
      </c>
      <c r="D12" s="16" t="s">
        <v>152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9F7E-5D24-46B3-B57F-A1DE45F5F173}">
  <dimension ref="A1:D12"/>
  <sheetViews>
    <sheetView workbookViewId="0">
      <selection activeCell="A2" sqref="A2:D12"/>
    </sheetView>
  </sheetViews>
  <sheetFormatPr baseColWidth="10" defaultRowHeight="14.4"/>
  <cols>
    <col min="1" max="1" width="24.77734375" bestFit="1" customWidth="1"/>
    <col min="2" max="3" width="25.44140625" bestFit="1" customWidth="1"/>
    <col min="4" max="4" width="25.109375" bestFit="1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s="16" t="s">
        <v>0</v>
      </c>
      <c r="B2" s="16" t="s">
        <v>1</v>
      </c>
      <c r="C2" s="16" t="s">
        <v>2</v>
      </c>
      <c r="D2" s="16" t="s">
        <v>3</v>
      </c>
    </row>
    <row r="3" spans="1:4">
      <c r="A3" s="16" t="s">
        <v>53</v>
      </c>
      <c r="B3" s="16" t="s">
        <v>153</v>
      </c>
      <c r="C3" s="16" t="s">
        <v>154</v>
      </c>
      <c r="D3" s="16" t="s">
        <v>155</v>
      </c>
    </row>
    <row r="4" spans="1:4">
      <c r="A4" s="16" t="s">
        <v>57</v>
      </c>
      <c r="B4" s="16" t="s">
        <v>156</v>
      </c>
      <c r="C4" s="16" t="s">
        <v>157</v>
      </c>
      <c r="D4" s="16" t="s">
        <v>158</v>
      </c>
    </row>
    <row r="5" spans="1:4">
      <c r="A5" s="16" t="s">
        <v>61</v>
      </c>
      <c r="B5" s="16" t="s">
        <v>159</v>
      </c>
      <c r="C5" s="16" t="s">
        <v>160</v>
      </c>
      <c r="D5" s="16" t="s">
        <v>161</v>
      </c>
    </row>
    <row r="6" spans="1:4">
      <c r="A6" s="16" t="s">
        <v>65</v>
      </c>
      <c r="B6" s="16" t="s">
        <v>162</v>
      </c>
      <c r="C6" s="16" t="s">
        <v>163</v>
      </c>
      <c r="D6" s="16" t="s">
        <v>164</v>
      </c>
    </row>
    <row r="7" spans="1:4">
      <c r="A7" s="16" t="s">
        <v>69</v>
      </c>
      <c r="B7" s="16" t="s">
        <v>165</v>
      </c>
      <c r="C7" s="16" t="s">
        <v>166</v>
      </c>
      <c r="D7" s="16" t="s">
        <v>167</v>
      </c>
    </row>
    <row r="8" spans="1:4">
      <c r="A8" s="16" t="s">
        <v>73</v>
      </c>
      <c r="B8" s="16" t="s">
        <v>168</v>
      </c>
      <c r="C8" s="16" t="s">
        <v>169</v>
      </c>
      <c r="D8" s="16" t="s">
        <v>170</v>
      </c>
    </row>
    <row r="9" spans="1:4">
      <c r="A9" s="16" t="s">
        <v>77</v>
      </c>
      <c r="B9" s="16" t="s">
        <v>171</v>
      </c>
      <c r="C9" s="16" t="s">
        <v>172</v>
      </c>
      <c r="D9" s="16" t="s">
        <v>173</v>
      </c>
    </row>
    <row r="10" spans="1:4">
      <c r="A10" s="16" t="s">
        <v>81</v>
      </c>
      <c r="B10" s="16" t="s">
        <v>174</v>
      </c>
      <c r="C10" s="16" t="s">
        <v>175</v>
      </c>
      <c r="D10" s="16" t="s">
        <v>176</v>
      </c>
    </row>
    <row r="11" spans="1:4">
      <c r="A11" s="16" t="s">
        <v>85</v>
      </c>
      <c r="B11" s="16" t="s">
        <v>177</v>
      </c>
      <c r="C11" s="16" t="s">
        <v>178</v>
      </c>
      <c r="D11" s="16" t="s">
        <v>179</v>
      </c>
    </row>
    <row r="12" spans="1:4">
      <c r="A12" s="16" t="s">
        <v>89</v>
      </c>
      <c r="B12" s="16" t="s">
        <v>180</v>
      </c>
      <c r="C12" s="16" t="s">
        <v>181</v>
      </c>
      <c r="D12" s="16" t="s">
        <v>182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FD5D0B-D267-4728-8599-7CE1ABBCD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BlockA_GeoEkliptic</vt:lpstr>
      <vt:lpstr>BlockB_GeoEqu</vt:lpstr>
      <vt:lpstr>BlockD_Robustness</vt:lpstr>
      <vt:lpstr>VENUS_VSOP87A_Positions</vt:lpstr>
      <vt:lpstr>MARS_VSOP87A_Positions</vt:lpstr>
      <vt:lpstr>EARTH_VSOP87A_Positions</vt:lpstr>
      <vt:lpstr>JUPITER_VSOP87A_Positions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2026-02-14T17:45:56Z</dcterms:created>
  <dcterms:modified xsi:type="dcterms:W3CDTF">2026-02-14T20:12:22Z</dcterms:modified>
</cp:coreProperties>
</file>